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b41a04e0e241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743ebf957504417"/>
    <x:sheet xmlns:r="http://schemas.openxmlformats.org/officeDocument/2006/relationships" name="Module Audit" sheetId="2" r:id="R1a4d6a27b7514d43"/>
    <x:sheet xmlns:r="http://schemas.openxmlformats.org/officeDocument/2006/relationships" name="Acceptance Evidence" sheetId="3" r:id="Re736527450b84913"/>
    <x:sheet xmlns:r="http://schemas.openxmlformats.org/officeDocument/2006/relationships" name="Remaining Backlog" sheetId="4" r:id="Rf61e0162bf54483a"/>
    <x:sheet xmlns:r="http://schemas.openxmlformats.org/officeDocument/2006/relationships" name="Verification" sheetId="5" r:id="Rcdc414c66ed54e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%"/>
    <x:numFmt numFmtId="201" formatCode="0%"/>
  </x:numFmts>
  <x:fonts count="7">
    <x:font>
      <x:sz val="11"/>
      <x:name val="Carlito"/>
    </x:font>
    <x:font>
      <x:b/>
      <x:sz val="11"/>
      <x:color rgb="FFFFFFFF"/>
      <x:name val="Carlito"/>
    </x:font>
    <x:font>
      <x:b/>
      <x:sz val="11"/>
      <x:color rgb="FF0B1F33"/>
      <x:name val="Carlito"/>
    </x:font>
    <x:font>
      <x:b/>
      <x:sz val="18"/>
      <x:color rgb="FFFFFFFF"/>
      <x:name val="Carlito"/>
    </x:font>
    <x:font>
      <x:b/>
      <x:sz val="22"/>
      <x:color rgb="FF0B1F33"/>
      <x:name val="Carlito"/>
    </x:font>
    <x:font>
      <x:b/>
      <x:sz val="14"/>
      <x:color rgb="FF0B1F33"/>
      <x:name val="Carlito"/>
    </x:font>
    <x:font>
      <x:b/>
      <x:sz val="11"/>
      <x:color rgb="FF78350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</x:fills>
  <x:borders count="24">
    <x:border/>
    <x:border/>
    <x:border>
      <x:left style="thin">
        <x:color rgb="FFD1D5DB"/>
      </x:left>
      <x:top style="thin">
        <x:color rgb="FFD1D5DB"/>
      </x:top>
    </x:border>
    <x:border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bottom style="thin">
        <x:color rgb="FFD1D5DB"/>
      </x:bottom>
    </x:border>
    <x:border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top style="thin">
        <x:color rgb="FFD1D5DB"/>
      </x:top>
    </x:border>
    <x:border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bottom style="thin">
        <x:color rgb="FFD1D5DB"/>
      </x:bottom>
    </x:border>
    <x:border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2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1" fillId="2" borderId="10" xfId="0" applyNumberFormat="1" applyFont="1" applyFill="1" applyBorder="1" applyAlignment="1">
      <x:alignment horizontal="center" vertical="center"/>
    </x:xf>
    <x:xf numFmtId="0" fontId="1" fillId="2" borderId="11" xfId="0" applyNumberFormat="1" applyFont="1" applyFill="1" applyBorder="1" applyAlignment="1">
      <x:alignment horizontal="center" vertical="center"/>
    </x:xf>
    <x:xf numFmtId="0" fontId="1" fillId="2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8" xfId="0" applyNumberFormat="1" applyFont="1" applyFill="1" applyBorder="1"/>
    <x:xf numFmtId="0" fontId="2" fillId="3" borderId="19" xfId="0" applyNumberFormat="1" applyFont="1" applyFill="1" applyBorder="1"/>
    <x:xf numFmtId="0" fontId="2" fillId="3" borderId="2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21" xfId="0" applyNumberFormat="1" applyFont="1" applyFill="1" applyBorder="1"/>
    <x:xf numFmtId="0" fontId="2" fillId="3" borderId="22" xfId="0" applyNumberFormat="1" applyFont="1" applyFill="1" applyBorder="1"/>
    <x:xf numFmtId="0" fontId="2" fillId="3" borderId="23" xfId="0" applyNumberFormat="1" applyFont="1" applyFill="1" applyBorder="1"/>
    <x:xf numFmtId="200" fontId="2" fillId="3" borderId="19" xfId="0" applyNumberFormat="1" applyFont="1" applyFill="1" applyBorder="1"/>
    <x:xf numFmtId="200" fontId="2" fillId="3" borderId="22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1" fontId="0" fillId="0" borderId="16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left"/>
    </x:xf>
    <x:xf numFmtId="0" fontId="3" fillId="2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8" xfId="0" applyNumberFormat="1" applyFont="1" applyFill="1" applyBorder="1"/>
    <x:xf numFmtId="0" fontId="1" fillId="4" borderId="20" xfId="0" applyNumberFormat="1" applyFont="1" applyFill="1" applyBorder="1"/>
    <x:xf numFmtId="0" fontId="1" fillId="4" borderId="18" xfId="0" applyNumberFormat="1" applyFont="1" applyFill="1" applyBorder="1" applyAlignment="1">
      <x:alignment horizontal="center"/>
    </x:xf>
    <x:xf numFmtId="0" fontId="1" fillId="4" borderId="20" xfId="0" applyNumberFormat="1" applyFont="1" applyFill="1" applyBorder="1" applyAlignment="1">
      <x:alignment horizontal="center"/>
    </x:xf>
    <x:xf numFmtId="0" fontId="1" fillId="4" borderId="18" xfId="0" applyNumberFormat="1" applyFont="1" applyFill="1" applyBorder="1" applyAlignment="1">
      <x:alignment horizontal="center" vertical="center"/>
    </x:xf>
    <x:xf numFmtId="0" fontId="1" fillId="4" borderId="2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21" xfId="0" applyNumberFormat="1" applyFont="1" applyFill="1" applyBorder="1"/>
    <x:xf numFmtId="0" fontId="1" fillId="4" borderId="23" xfId="0" applyNumberFormat="1" applyFont="1" applyFill="1" applyBorder="1"/>
    <x:xf numFmtId="0" fontId="1" fillId="4" borderId="21" xfId="0" applyNumberFormat="1" applyFont="1" applyFill="1" applyBorder="1" applyAlignment="1">
      <x:alignment horizontal="center"/>
    </x:xf>
    <x:xf numFmtId="0" fontId="1" fillId="4" borderId="23" xfId="0" applyNumberFormat="1" applyFont="1" applyFill="1" applyBorder="1" applyAlignment="1">
      <x:alignment horizontal="center"/>
    </x:xf>
    <x:xf numFmtId="0" fontId="1" fillId="4" borderId="21" xfId="0" applyNumberFormat="1" applyFont="1" applyFill="1" applyBorder="1" applyAlignment="1">
      <x:alignment horizontal="center" vertical="center"/>
    </x:xf>
    <x:xf numFmtId="0" fontId="1" fillId="4" borderId="2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4" xfId="0" applyNumberFormat="1" applyFont="1" applyFill="1" applyBorder="1"/>
    <x:xf numFmtId="0" fontId="4" fillId="5" borderId="7" xfId="0" applyNumberFormat="1" applyFont="1" applyFill="1" applyBorder="1"/>
    <x:xf numFmtId="0" fontId="4" fillId="5" borderId="9" xfId="0" applyNumberFormat="1" applyFont="1" applyFill="1" applyBorder="1"/>
    <x:xf numFmtId="0" fontId="4" fillId="5" borderId="2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7" xfId="0" applyNumberFormat="1" applyFont="1" applyFill="1" applyBorder="1" applyAlignment="1">
      <x:alignment horizontal="center"/>
    </x:xf>
    <x:xf numFmtId="0" fontId="4" fillId="5" borderId="9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4" fillId="5" borderId="7" xfId="0" applyNumberFormat="1" applyFont="1" applyFill="1" applyBorder="1" applyAlignment="1">
      <x:alignment horizontal="center" vertical="center"/>
    </x:xf>
    <x:xf numFmtId="0" fontId="4" fillId="5" borderId="9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0" xfId="0" applyNumberFormat="1" applyFont="1" applyFill="1" applyBorder="1"/>
    <x:xf numFmtId="0" fontId="4" fillId="5" borderId="12" xfId="0" applyNumberFormat="1" applyFont="1" applyFill="1" applyBorder="1"/>
    <x:xf numFmtId="0" fontId="4" fillId="5" borderId="15" xfId="0" applyNumberFormat="1" applyFont="1" applyFill="1" applyBorder="1"/>
    <x:xf numFmtId="0" fontId="4" fillId="5" borderId="17" xfId="0" applyNumberFormat="1" applyFont="1" applyFill="1" applyBorder="1"/>
    <x:xf numFmtId="0" fontId="4" fillId="5" borderId="10" xfId="0" applyNumberFormat="1" applyFont="1" applyFill="1" applyBorder="1" applyAlignment="1">
      <x:alignment horizontal="center"/>
    </x:xf>
    <x:xf numFmtId="0" fontId="4" fillId="5" borderId="12" xfId="0" applyNumberFormat="1" applyFont="1" applyFill="1" applyBorder="1" applyAlignment="1">
      <x:alignment horizontal="center"/>
    </x:xf>
    <x:xf numFmtId="0" fontId="4" fillId="5" borderId="15" xfId="0" applyNumberFormat="1" applyFont="1" applyFill="1" applyBorder="1" applyAlignment="1">
      <x:alignment horizontal="center"/>
    </x:xf>
    <x:xf numFmtId="0" fontId="4" fillId="5" borderId="17" xfId="0" applyNumberFormat="1" applyFont="1" applyFill="1" applyBorder="1" applyAlignment="1">
      <x:alignment horizontal="center"/>
    </x:xf>
    <x:xf numFmtId="0" fontId="4" fillId="5" borderId="10" xfId="0" applyNumberFormat="1" applyFont="1" applyFill="1" applyBorder="1" applyAlignment="1">
      <x:alignment horizontal="center" vertical="center"/>
    </x:xf>
    <x:xf numFmtId="0" fontId="4" fillId="5" borderId="12" xfId="0" applyNumberFormat="1" applyFont="1" applyFill="1" applyBorder="1" applyAlignment="1">
      <x:alignment horizontal="center" vertical="center"/>
    </x:xf>
    <x:xf numFmtId="0" fontId="4" fillId="5" borderId="15" xfId="0" applyNumberFormat="1" applyFont="1" applyFill="1" applyBorder="1" applyAlignment="1">
      <x:alignment horizontal="center" vertical="center"/>
    </x:xf>
    <x:xf numFmtId="0" fontId="4" fillId="5" borderId="17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4" xfId="0" applyNumberFormat="1" applyFont="1" applyFill="1" applyBorder="1"/>
    <x:xf numFmtId="0" fontId="4" fillId="6" borderId="7" xfId="0" applyNumberFormat="1" applyFont="1" applyFill="1" applyBorder="1"/>
    <x:xf numFmtId="0" fontId="4" fillId="6" borderId="9" xfId="0" applyNumberFormat="1" applyFont="1" applyFill="1" applyBorder="1"/>
    <x:xf numFmtId="0" fontId="4" fillId="6" borderId="2" xfId="0" applyNumberFormat="1" applyFont="1" applyFill="1" applyBorder="1" applyAlignment="1">
      <x:alignment horizontal="center"/>
    </x:xf>
    <x:xf numFmtId="0" fontId="4" fillId="6" borderId="4" xfId="0" applyNumberFormat="1" applyFont="1" applyFill="1" applyBorder="1" applyAlignment="1">
      <x:alignment horizontal="center"/>
    </x:xf>
    <x:xf numFmtId="0" fontId="4" fillId="6" borderId="7" xfId="0" applyNumberFormat="1" applyFont="1" applyFill="1" applyBorder="1" applyAlignment="1">
      <x:alignment horizontal="center"/>
    </x:xf>
    <x:xf numFmtId="0" fontId="4" fillId="6" borderId="9" xfId="0" applyNumberFormat="1" applyFont="1" applyFill="1" applyBorder="1" applyAlignment="1">
      <x:alignment horizontal="center"/>
    </x:xf>
    <x:xf numFmtId="0" fontId="4" fillId="6" borderId="2" xfId="0" applyNumberFormat="1" applyFont="1" applyFill="1" applyBorder="1" applyAlignment="1">
      <x:alignment horizontal="center" vertical="center"/>
    </x:xf>
    <x:xf numFmtId="0" fontId="4" fillId="6" borderId="4" xfId="0" applyNumberFormat="1" applyFont="1" applyFill="1" applyBorder="1" applyAlignment="1">
      <x:alignment horizontal="center" vertical="center"/>
    </x:xf>
    <x:xf numFmtId="0" fontId="4" fillId="6" borderId="7" xfId="0" applyNumberFormat="1" applyFont="1" applyFill="1" applyBorder="1" applyAlignment="1">
      <x:alignment horizontal="center" vertical="center"/>
    </x:xf>
    <x:xf numFmtId="0" fontId="4" fillId="6" borderId="9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0" xfId="0" applyNumberFormat="1" applyFont="1" applyFill="1" applyBorder="1"/>
    <x:xf numFmtId="0" fontId="4" fillId="6" borderId="12" xfId="0" applyNumberFormat="1" applyFont="1" applyFill="1" applyBorder="1"/>
    <x:xf numFmtId="0" fontId="4" fillId="6" borderId="15" xfId="0" applyNumberFormat="1" applyFont="1" applyFill="1" applyBorder="1"/>
    <x:xf numFmtId="0" fontId="4" fillId="6" borderId="17" xfId="0" applyNumberFormat="1" applyFont="1" applyFill="1" applyBorder="1"/>
    <x:xf numFmtId="0" fontId="4" fillId="6" borderId="10" xfId="0" applyNumberFormat="1" applyFont="1" applyFill="1" applyBorder="1" applyAlignment="1">
      <x:alignment horizontal="center"/>
    </x:xf>
    <x:xf numFmtId="0" fontId="4" fillId="6" borderId="12" xfId="0" applyNumberFormat="1" applyFont="1" applyFill="1" applyBorder="1" applyAlignment="1">
      <x:alignment horizontal="center"/>
    </x:xf>
    <x:xf numFmtId="0" fontId="4" fillId="6" borderId="15" xfId="0" applyNumberFormat="1" applyFont="1" applyFill="1" applyBorder="1" applyAlignment="1">
      <x:alignment horizontal="center"/>
    </x:xf>
    <x:xf numFmtId="0" fontId="4" fillId="6" borderId="17" xfId="0" applyNumberFormat="1" applyFont="1" applyFill="1" applyBorder="1" applyAlignment="1">
      <x:alignment horizontal="center"/>
    </x:xf>
    <x:xf numFmtId="0" fontId="4" fillId="6" borderId="10" xfId="0" applyNumberFormat="1" applyFont="1" applyFill="1" applyBorder="1" applyAlignment="1">
      <x:alignment horizontal="center" vertical="center"/>
    </x:xf>
    <x:xf numFmtId="0" fontId="4" fillId="6" borderId="12" xfId="0" applyNumberFormat="1" applyFont="1" applyFill="1" applyBorder="1" applyAlignment="1">
      <x:alignment horizontal="center" vertical="center"/>
    </x:xf>
    <x:xf numFmtId="0" fontId="4" fillId="6" borderId="15" xfId="0" applyNumberFormat="1" applyFont="1" applyFill="1" applyBorder="1" applyAlignment="1">
      <x:alignment horizontal="center" vertical="center"/>
    </x:xf>
    <x:xf numFmtId="0" fontId="4" fillId="6" borderId="17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2" xfId="0" applyNumberFormat="1" applyFont="1" applyFill="1" applyBorder="1"/>
    <x:xf numFmtId="0" fontId="4" fillId="3" borderId="4" xfId="0" applyNumberFormat="1" applyFont="1" applyFill="1" applyBorder="1"/>
    <x:xf numFmtId="0" fontId="4" fillId="3" borderId="7" xfId="0" applyNumberFormat="1" applyFont="1" applyFill="1" applyBorder="1"/>
    <x:xf numFmtId="0" fontId="4" fillId="3" borderId="9" xfId="0" applyNumberFormat="1" applyFont="1" applyFill="1" applyBorder="1"/>
    <x:xf numFmtId="0" fontId="4" fillId="3" borderId="2" xfId="0" applyNumberFormat="1" applyFont="1" applyFill="1" applyBorder="1" applyAlignment="1">
      <x:alignment horizontal="center"/>
    </x:xf>
    <x:xf numFmtId="0" fontId="4" fillId="3" borderId="4" xfId="0" applyNumberFormat="1" applyFont="1" applyFill="1" applyBorder="1" applyAlignment="1">
      <x:alignment horizontal="center"/>
    </x:xf>
    <x:xf numFmtId="0" fontId="4" fillId="3" borderId="7" xfId="0" applyNumberFormat="1" applyFont="1" applyFill="1" applyBorder="1" applyAlignment="1">
      <x:alignment horizontal="center"/>
    </x:xf>
    <x:xf numFmtId="0" fontId="4" fillId="3" borderId="9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4" fillId="3" borderId="4" xfId="0" applyNumberFormat="1" applyFont="1" applyFill="1" applyBorder="1" applyAlignment="1">
      <x:alignment horizontal="center" vertical="center"/>
    </x:xf>
    <x:xf numFmtId="0" fontId="4" fillId="3" borderId="7" xfId="0" applyNumberFormat="1" applyFont="1" applyFill="1" applyBorder="1" applyAlignment="1">
      <x:alignment horizontal="center" vertical="center"/>
    </x:xf>
    <x:xf numFmtId="0" fontId="4" fillId="3" borderId="9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/>
    <x:xf numFmtId="0" fontId="4" fillId="3" borderId="10" xfId="0" applyNumberFormat="1" applyFont="1" applyFill="1" applyBorder="1"/>
    <x:xf numFmtId="0" fontId="4" fillId="3" borderId="12" xfId="0" applyNumberFormat="1" applyFont="1" applyFill="1" applyBorder="1"/>
    <x:xf numFmtId="0" fontId="4" fillId="3" borderId="15" xfId="0" applyNumberFormat="1" applyFont="1" applyFill="1" applyBorder="1"/>
    <x:xf numFmtId="0" fontId="4" fillId="3" borderId="17" xfId="0" applyNumberFormat="1" applyFont="1" applyFill="1" applyBorder="1"/>
    <x:xf numFmtId="0" fontId="4" fillId="3" borderId="10" xfId="0" applyNumberFormat="1" applyFont="1" applyFill="1" applyBorder="1" applyAlignment="1">
      <x:alignment horizontal="center"/>
    </x:xf>
    <x:xf numFmtId="0" fontId="4" fillId="3" borderId="12" xfId="0" applyNumberFormat="1" applyFont="1" applyFill="1" applyBorder="1" applyAlignment="1">
      <x:alignment horizontal="center"/>
    </x:xf>
    <x:xf numFmtId="0" fontId="4" fillId="3" borderId="15" xfId="0" applyNumberFormat="1" applyFont="1" applyFill="1" applyBorder="1" applyAlignment="1">
      <x:alignment horizontal="center"/>
    </x:xf>
    <x:xf numFmtId="0" fontId="4" fillId="3" borderId="17" xfId="0" applyNumberFormat="1" applyFont="1" applyFill="1" applyBorder="1" applyAlignment="1">
      <x:alignment horizontal="center"/>
    </x:xf>
    <x:xf numFmtId="0" fontId="4" fillId="3" borderId="10" xfId="0" applyNumberFormat="1" applyFont="1" applyFill="1" applyBorder="1" applyAlignment="1">
      <x:alignment horizontal="center" vertical="center"/>
    </x:xf>
    <x:xf numFmtId="0" fontId="4" fillId="3" borderId="12" xfId="0" applyNumberFormat="1" applyFont="1" applyFill="1" applyBorder="1" applyAlignment="1">
      <x:alignment horizontal="center" vertical="center"/>
    </x:xf>
    <x:xf numFmtId="0" fontId="4" fillId="3" borderId="15" xfId="0" applyNumberFormat="1" applyFont="1" applyFill="1" applyBorder="1" applyAlignment="1">
      <x:alignment horizontal="center" vertical="center"/>
    </x:xf>
    <x:xf numFmtId="0" fontId="4" fillId="3" borderId="17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4" xfId="0" applyNumberFormat="1" applyFont="1" applyFill="1" applyBorder="1" applyAlignment="1">
      <x:alignment horizontal="center" vertical="center"/>
    </x:xf>
    <x:xf numFmtId="200" fontId="4" fillId="6" borderId="2" xfId="0" applyNumberFormat="1" applyFont="1" applyFill="1" applyBorder="1" applyAlignment="1">
      <x:alignment horizontal="center" vertical="center"/>
    </x:xf>
    <x:xf numFmtId="200" fontId="4" fillId="6" borderId="4" xfId="0" applyNumberFormat="1" applyFont="1" applyFill="1" applyBorder="1" applyAlignment="1">
      <x:alignment horizontal="center" vertical="center"/>
    </x:xf>
    <x:xf numFmtId="200" fontId="4" fillId="3" borderId="2" xfId="0" applyNumberFormat="1" applyFont="1" applyFill="1" applyBorder="1" applyAlignment="1">
      <x:alignment horizontal="center" vertical="center"/>
    </x:xf>
    <x:xf numFmtId="200" fontId="4" fillId="3" borderId="4" xfId="0" applyNumberFormat="1" applyFont="1" applyFill="1" applyBorder="1" applyAlignment="1">
      <x:alignment horizontal="center" vertical="center"/>
    </x:xf>
    <x:xf numFmtId="200" fontId="4" fillId="5" borderId="7" xfId="0" applyNumberFormat="1" applyFont="1" applyFill="1" applyBorder="1" applyAlignment="1">
      <x:alignment horizontal="center" vertical="center"/>
    </x:xf>
    <x:xf numFmtId="200" fontId="4" fillId="5" borderId="9" xfId="0" applyNumberFormat="1" applyFont="1" applyFill="1" applyBorder="1" applyAlignment="1">
      <x:alignment horizontal="center" vertical="center"/>
    </x:xf>
    <x:xf numFmtId="200" fontId="4" fillId="6" borderId="7" xfId="0" applyNumberFormat="1" applyFont="1" applyFill="1" applyBorder="1" applyAlignment="1">
      <x:alignment horizontal="center" vertical="center"/>
    </x:xf>
    <x:xf numFmtId="200" fontId="4" fillId="6" borderId="9" xfId="0" applyNumberFormat="1" applyFont="1" applyFill="1" applyBorder="1" applyAlignment="1">
      <x:alignment horizontal="center" vertical="center"/>
    </x:xf>
    <x:xf numFmtId="200" fontId="4" fillId="3" borderId="7" xfId="0" applyNumberFormat="1" applyFont="1" applyFill="1" applyBorder="1" applyAlignment="1">
      <x:alignment horizontal="center" vertical="center"/>
    </x:xf>
    <x:xf numFmtId="200" fontId="4" fillId="3" borderId="9" xfId="0" applyNumberFormat="1" applyFont="1" applyFill="1" applyBorder="1" applyAlignment="1">
      <x:alignment horizontal="center" vertical="center"/>
    </x:xf>
    <x:xf numFmtId="200" fontId="4" fillId="5" borderId="10" xfId="0" applyNumberFormat="1" applyFont="1" applyFill="1" applyBorder="1" applyAlignment="1">
      <x:alignment horizontal="center" vertical="center"/>
    </x:xf>
    <x:xf numFmtId="200" fontId="4" fillId="5" borderId="12" xfId="0" applyNumberFormat="1" applyFont="1" applyFill="1" applyBorder="1" applyAlignment="1">
      <x:alignment horizontal="center" vertical="center"/>
    </x:xf>
    <x:xf numFmtId="200" fontId="4" fillId="6" borderId="10" xfId="0" applyNumberFormat="1" applyFont="1" applyFill="1" applyBorder="1" applyAlignment="1">
      <x:alignment horizontal="center" vertical="center"/>
    </x:xf>
    <x:xf numFmtId="200" fontId="4" fillId="6" borderId="12" xfId="0" applyNumberFormat="1" applyFont="1" applyFill="1" applyBorder="1" applyAlignment="1">
      <x:alignment horizontal="center" vertical="center"/>
    </x:xf>
    <x:xf numFmtId="200" fontId="4" fillId="3" borderId="10" xfId="0" applyNumberFormat="1" applyFont="1" applyFill="1" applyBorder="1" applyAlignment="1">
      <x:alignment horizontal="center" vertical="center"/>
    </x:xf>
    <x:xf numFmtId="200" fontId="4" fillId="3" borderId="12" xfId="0" applyNumberFormat="1" applyFont="1" applyFill="1" applyBorder="1" applyAlignment="1">
      <x:alignment horizontal="center" vertical="center"/>
    </x:xf>
    <x:xf numFmtId="200" fontId="4" fillId="5" borderId="15" xfId="0" applyNumberFormat="1" applyFont="1" applyFill="1" applyBorder="1" applyAlignment="1">
      <x:alignment horizontal="center" vertical="center"/>
    </x:xf>
    <x:xf numFmtId="200" fontId="4" fillId="5" borderId="17" xfId="0" applyNumberFormat="1" applyFont="1" applyFill="1" applyBorder="1" applyAlignment="1">
      <x:alignment horizontal="center" vertical="center"/>
    </x:xf>
    <x:xf numFmtId="200" fontId="4" fillId="6" borderId="15" xfId="0" applyNumberFormat="1" applyFont="1" applyFill="1" applyBorder="1" applyAlignment="1">
      <x:alignment horizontal="center" vertical="center"/>
    </x:xf>
    <x:xf numFmtId="200" fontId="4" fillId="6" borderId="17" xfId="0" applyNumberFormat="1" applyFont="1" applyFill="1" applyBorder="1" applyAlignment="1">
      <x:alignment horizontal="center" vertical="center"/>
    </x:xf>
    <x:xf numFmtId="200" fontId="4" fillId="3" borderId="15" xfId="0" applyNumberFormat="1" applyFont="1" applyFill="1" applyBorder="1" applyAlignment="1">
      <x:alignment horizontal="center" vertical="center"/>
    </x:xf>
    <x:xf numFmtId="200" fontId="4" fillId="3" borderId="17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1" xfId="0" applyNumberFormat="1" applyFont="1" applyFill="1" applyBorder="1" applyAlignment="1">
      <x:alignment horizontal="center"/>
    </x:xf>
    <x:xf numFmtId="0" fontId="1" fillId="4" borderId="1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18" xfId="0" applyNumberFormat="1" applyFont="1" applyFill="1" applyBorder="1"/>
    <x:xf numFmtId="0" fontId="5" fillId="0" borderId="19" xfId="0" applyNumberFormat="1" applyFont="1" applyFill="1" applyBorder="1"/>
    <x:xf numFmtId="0" fontId="5" fillId="0" borderId="20" xfId="0" applyNumberFormat="1" applyFont="1" applyFill="1" applyBorder="1"/>
    <x:xf numFmtId="0" fontId="5" fillId="0" borderId="18" xfId="0" applyNumberFormat="1" applyFont="1" applyFill="1" applyBorder="1" applyAlignment="1">
      <x:alignment horizontal="center"/>
    </x:xf>
    <x:xf numFmtId="0" fontId="5" fillId="0" borderId="19" xfId="0" applyNumberFormat="1" applyFont="1" applyFill="1" applyBorder="1" applyAlignment="1">
      <x:alignment horizontal="center"/>
    </x:xf>
    <x:xf numFmtId="0" fontId="5" fillId="0" borderId="20" xfId="0" applyNumberFormat="1" applyFont="1" applyFill="1" applyBorder="1" applyAlignment="1">
      <x:alignment horizontal="center"/>
    </x:xf>
    <x:xf numFmtId="0" fontId="5" fillId="0" borderId="1" xfId="0" applyNumberFormat="1" applyFont="1" applyFill="1" applyBorder="1"/>
    <x:xf numFmtId="0" fontId="5" fillId="0" borderId="21" xfId="0" applyNumberFormat="1" applyFont="1" applyFill="1" applyBorder="1"/>
    <x:xf numFmtId="0" fontId="5" fillId="0" borderId="22" xfId="0" applyNumberFormat="1" applyFont="1" applyFill="1" applyBorder="1"/>
    <x:xf numFmtId="0" fontId="5" fillId="0" borderId="23" xfId="0" applyNumberFormat="1" applyFont="1" applyFill="1" applyBorder="1"/>
    <x:xf numFmtId="0" fontId="5" fillId="0" borderId="21" xfId="0" applyNumberFormat="1" applyFont="1" applyFill="1" applyBorder="1" applyAlignment="1">
      <x:alignment horizontal="center"/>
    </x:xf>
    <x:xf numFmtId="0" fontId="5" fillId="0" borderId="22" xfId="0" applyNumberFormat="1" applyFont="1" applyFill="1" applyBorder="1" applyAlignment="1">
      <x:alignment horizontal="center"/>
    </x:xf>
    <x:xf numFmtId="0" fontId="5" fillId="0" borderId="23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/>
    <x:xf numFmtId="0" fontId="6" fillId="6" borderId="18" xfId="0" applyNumberFormat="1" applyFont="1" applyFill="1" applyBorder="1"/>
    <x:xf numFmtId="0" fontId="6" fillId="6" borderId="19" xfId="0" applyNumberFormat="1" applyFont="1" applyFill="1" applyBorder="1"/>
    <x:xf numFmtId="0" fontId="6" fillId="6" borderId="20" xfId="0" applyNumberFormat="1" applyFont="1" applyFill="1" applyBorder="1"/>
    <x:xf numFmtId="0" fontId="6" fillId="6" borderId="18" xfId="0" applyNumberFormat="1" applyFont="1" applyFill="1" applyBorder="1" applyAlignment="1">
      <x:alignment wrapText="1"/>
    </x:xf>
    <x:xf numFmtId="0" fontId="6" fillId="6" borderId="19" xfId="0" applyNumberFormat="1" applyFont="1" applyFill="1" applyBorder="1" applyAlignment="1">
      <x:alignment wrapText="1"/>
    </x:xf>
    <x:xf numFmtId="0" fontId="6" fillId="6" borderId="20" xfId="0" applyNumberFormat="1" applyFont="1" applyFill="1" applyBorder="1" applyAlignment="1">
      <x:alignment wrapText="1"/>
    </x:xf>
    <x:xf numFmtId="0" fontId="6" fillId="6" borderId="1" xfId="0" applyNumberFormat="1" applyFont="1" applyFill="1" applyBorder="1"/>
    <x:xf numFmtId="0" fontId="6" fillId="6" borderId="21" xfId="0" applyNumberFormat="1" applyFont="1" applyFill="1" applyBorder="1"/>
    <x:xf numFmtId="0" fontId="6" fillId="6" borderId="22" xfId="0" applyNumberFormat="1" applyFont="1" applyFill="1" applyBorder="1"/>
    <x:xf numFmtId="0" fontId="6" fillId="6" borderId="23" xfId="0" applyNumberFormat="1" applyFont="1" applyFill="1" applyBorder="1"/>
    <x:xf numFmtId="0" fontId="6" fillId="6" borderId="21" xfId="0" applyNumberFormat="1" applyFont="1" applyFill="1" applyBorder="1" applyAlignment="1">
      <x:alignment wrapText="1"/>
    </x:xf>
    <x:xf numFmtId="0" fontId="6" fillId="6" borderId="22" xfId="0" applyNumberFormat="1" applyFont="1" applyFill="1" applyBorder="1" applyAlignment="1">
      <x:alignment wrapText="1"/>
    </x:xf>
    <x:xf numFmtId="0" fontId="6" fillId="6" borderId="23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2" borderId="2" xfId="0" applyNumberFormat="1" applyFont="1" applyFill="1" applyBorder="1"/>
    <x:xf numFmtId="0" fontId="0" fillId="2" borderId="4" xfId="0" applyNumberFormat="1" applyFont="1" applyFill="1" applyBorder="1"/>
    <x:xf numFmtId="0" fontId="1" fillId="2" borderId="2" xfId="0" applyNumberFormat="1" applyFont="1" applyFill="1" applyBorder="1"/>
    <x:xf numFmtId="0" fontId="1" fillId="2" borderId="4" xfId="0" applyNumberFormat="1" applyFont="1" applyFill="1" applyBorder="1"/>
    <x:xf numFmtId="0" fontId="1" fillId="2" borderId="2" xfId="0" applyNumberFormat="1" applyFont="1" applyFill="1" applyBorder="1" applyAlignment="1">
      <x:alignment horizontal="center"/>
    </x:xf>
    <x:xf numFmtId="0" fontId="1" fillId="2" borderId="4" xfId="0" applyNumberFormat="1" applyFont="1" applyFill="1" applyBorder="1" applyAlignment="1">
      <x:alignment horizontal="center"/>
    </x:xf>
    <x:xf numFmtId="0" fontId="0" fillId="2" borderId="10" xfId="0" applyNumberFormat="1" applyFont="1" applyFill="1" applyBorder="1"/>
    <x:xf numFmtId="0" fontId="0" fillId="2" borderId="12" xfId="0" applyNumberFormat="1" applyFont="1" applyFill="1" applyBorder="1"/>
    <x:xf numFmtId="0" fontId="1" fillId="2" borderId="10" xfId="0" applyNumberFormat="1" applyFont="1" applyFill="1" applyBorder="1"/>
    <x:xf numFmtId="0" fontId="1" fillId="2" borderId="12" xfId="0" applyNumberFormat="1" applyFont="1" applyFill="1" applyBorder="1"/>
    <x:xf numFmtId="0" fontId="1" fillId="2" borderId="10" xfId="0" applyNumberFormat="1" applyFont="1" applyFill="1" applyBorder="1" applyAlignment="1">
      <x:alignment horizontal="center"/>
    </x:xf>
    <x:xf numFmtId="0" fontId="1" fillId="2" borderId="12" xfId="0" applyNumberFormat="1" applyFont="1" applyFill="1" applyBorder="1" applyAlignment="1">
      <x:alignment horizontal="center"/>
    </x:xf>
    <x:xf numFmtId="201" fontId="0" fillId="0" borderId="6" xfId="0" applyNumberFormat="1" applyFont="1" applyFill="1" applyBorder="1"/>
    <x:xf numFmtId="201" fontId="0" fillId="0" borderId="9" xfId="0" applyNumberFormat="1" applyFont="1" applyFill="1" applyBorder="1"/>
    <x:xf numFmtId="201" fontId="0" fillId="0" borderId="14" xfId="0" applyNumberFormat="1" applyFont="1" applyFill="1" applyBorder="1"/>
    <x:xf numFmtId="201" fontId="0" fillId="0" borderId="17" xfId="0" applyNumberFormat="1" applyFont="1" applyFill="1" applyBorder="1"/>
  </x:cellXfs>
  <x:cellStyles count="1">
    <x:cellStyle name="Normal" xfId="0"/>
  </x:cellStyles>
  <x:dxfs count="7"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bbb11ed3c448fb" /><Relationship Type="http://schemas.openxmlformats.org/officeDocument/2006/relationships/theme" Target="/xl/theme/theme1.xml" Id="R0a6d413f27df4434" /><Relationship Type="http://schemas.openxmlformats.org/officeDocument/2006/relationships/sharedStrings" Target="/xl/sharedStrings.xml" Id="R1a34d9c16e9c4054" /><Relationship Type="http://schemas.openxmlformats.org/officeDocument/2006/relationships/worksheet" Target="/xl/worksheets/sheet1.xml" Id="R3743ebf957504417" /><Relationship Type="http://schemas.openxmlformats.org/officeDocument/2006/relationships/worksheet" Target="/xl/worksheets/sheet2.xml" Id="R1a4d6a27b7514d43" /><Relationship Type="http://schemas.openxmlformats.org/officeDocument/2006/relationships/worksheet" Target="/xl/worksheets/sheet3.xml" Id="Re736527450b84913" /><Relationship Type="http://schemas.openxmlformats.org/officeDocument/2006/relationships/worksheet" Target="/xl/worksheets/sheet4.xml" Id="Rf61e0162bf54483a" /><Relationship Type="http://schemas.openxmlformats.org/officeDocument/2006/relationships/worksheet" Target="/xl/worksheets/sheet5.xml" Id="Rcdc414c66ed54e8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8eb42e2dd84fe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各阶段加权完成度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加权完成度</c:v>
          </c:tx>
          <c:cat>
            <c:strRef>
              <c:f>'Summary'!$H$3:$H$12</c:f>
              <c:strCache>
                <c:ptCount val="0"/>
              </c:strCache>
            </c:strRef>
          </c:cat>
          <c:val>
            <c:numRef>
              <c:f>'Summary'!$I$3:$I$12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13</xdr:row>
      <xdr:rowOff>0</xdr:rowOff>
    </xdr:from>
    <xdr:to>
      <xdr:col>14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8eb42e2dd84fe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oduleAuditTable" displayName="ModuleAuditTable" ref="A1:I27" headerRowCount="1" totalsRowCount="0" totalsRowShown="0">
  <x:tableColumns count="9">
    <x:tableColumn id="1" name="阶段"/>
    <x:tableColumn id="2" name="模块"/>
    <x:tableColumn id="3" name="权重"/>
    <x:tableColumn id="4" name="完成度"/>
    <x:tableColumn id="5" name="审核信心"/>
    <x:tableColumn id="6" name="状态"/>
    <x:tableColumn id="7" name="验证证据"/>
    <x:tableColumn id="8" name="尚未完成"/>
    <x:tableColumn id="9" name="有信心100%？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ceptanceTable" displayName="AcceptanceTable" ref="A1:F29" headerRowCount="1" totalsRowCount="0" totalsRowShown="0">
  <x:tableColumns count="6">
    <x:tableColumn id="1" name="#"/>
    <x:tableColumn id="2" name="验收项"/>
    <x:tableColumn id="3" name="结论"/>
    <x:tableColumn id="4" name="证据"/>
    <x:tableColumn id="5" name="审核信心"/>
    <x:tableColumn id="6" name="缺口/边界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BacklogTable" displayName="BacklogTable" ref="A1:G18" headerRowCount="1" totalsRowCount="0" totalsRowShown="0">
  <x:tableColumns count="7">
    <x:tableColumn id="1" name="优先级"/>
    <x:tableColumn id="2" name="领域"/>
    <x:tableColumn id="3" name="剩余工作"/>
    <x:tableColumn id="4" name="验收标准"/>
    <x:tableColumn id="5" name="建议责任"/>
    <x:tableColumn id="6" name="状态"/>
    <x:tableColumn id="7" name="风险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VerificationTable" displayName="VerificationTable" ref="A1:D12" headerRowCount="1" totalsRowCount="0" totalsRowShown="0">
  <x:tableColumns count="4">
    <x:tableColumn id="1" name="验证项"/>
    <x:tableColumn id="2" name="结果"/>
    <x:tableColumn id="3" name="执行证据"/>
    <x:tableColumn id="4" name="100% 信心边界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b6e2842cbc2412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3cf5e57ec8a44b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fb3a07285a74e8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0e7c1726f814c3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1bc993500424601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20" hidden="0" customWidth="1"/>
    <x:col min="3" max="3" width="20" hidden="0" customWidth="1"/>
    <x:col min="4" max="4" width="20" hidden="0" customWidth="1"/>
    <x:col min="5" max="5" width="22" hidden="0" customWidth="1"/>
    <x:col min="6" max="6" width="22" hidden="0" customWidth="1"/>
    <x:col min="7" max="7" width="4" hidden="0" customWidth="1"/>
    <x:col min="8" max="8" width="18" hidden="0" customWidth="1"/>
    <x:col min="9" max="9" width="16" hidden="0" customWidth="1"/>
  </x:cols>
  <x:sheetData>
    <x:row r="1" ht="30" customHeight="1">
      <x:c r="A1" s="61" t="str">
        <x:v>Structured Infrastructure Manager — 工作进度审计</x:v>
      </x:c>
      <x:c r="B1" s="61"/>
      <x:c r="C1" s="61"/>
      <x:c r="D1" s="61"/>
      <x:c r="E1" s="61"/>
      <x:c r="F1" s="61"/>
    </x:row>
    <x:row r="2" ht="30" customHeight="1">
      <x:c r="A2" s="61"/>
      <x:c r="B2" s="61"/>
      <x:c r="C2" s="61"/>
      <x:c r="D2" s="61"/>
      <x:c r="E2" s="61"/>
      <x:c r="F2" s="61"/>
      <x:c r="H2" s="12" t="str">
        <x:v>阶段</x:v>
      </x:c>
      <x:c r="I2" s="14" t="str">
        <x:v>加权完成度</x:v>
      </x:c>
    </x:row>
    <x:row r="3">
      <x:c r="A3" s="34" t="str">
        <x:v>审核日期</x:v>
      </x:c>
      <x:c r="B3" s="35" t="str">
        <x:v>2026-08-19</x:v>
      </x:c>
      <x:c r="C3" s="35" t="str">
        <x:v>范围</x:v>
      </x:c>
      <x:c r="D3" s="35" t="str">
        <x:v>Master Build Prompt + delivered vertical slice</x:v>
      </x:c>
      <x:c r="E3" s="35" t="str">
        <x:v>计分</x:v>
      </x:c>
      <x:c r="F3" s="36" t="str">
        <x:v>权重总计 100</x:v>
      </x:c>
      <x:c r="H3" s="44" t="str">
        <x:v>Phase 0</x:v>
      </x:c>
      <x:c r="I3" s="243" t="n">
        <x:f>SUMPRODUCT(('Module Audit'!$A$2:$A$27=H3)*'Module Audit'!$C$2:$C$27*'Module Audit'!$D$2:$D$27)/SUMIF('Module Audit'!$A$2:$A$27,H3,'Module Audit'!$C$2:$C$27)</x:f>
        <x:v>0.750625</x:v>
      </x:c>
    </x:row>
    <x:row r="4">
      <x:c r="H4" s="44" t="str">
        <x:v>Phase 0/5</x:v>
      </x:c>
      <x:c r="I4" s="243" t="n">
        <x:f>SUMPRODUCT(('Module Audit'!$A$2:$A$27=H4)*'Module Audit'!$C$2:$C$27*'Module Audit'!$D$2:$D$27)/SUMIF('Module Audit'!$A$2:$A$27,H4,'Module Audit'!$C$2:$C$27)</x:f>
        <x:v>0.95</x:v>
      </x:c>
    </x:row>
    <x:row r="5">
      <x:c r="A5" s="71" t="str">
        <x:v>主范围加权完成度</x:v>
      </x:c>
      <x:c r="B5" s="72"/>
      <x:c r="C5" s="71" t="str">
        <x:v>明确剩余</x:v>
      </x:c>
      <x:c r="D5" s="72"/>
      <x:c r="E5" s="71" t="str">
        <x:v>DoD 覆盖率（部分=0.5）</x:v>
      </x:c>
      <x:c r="F5" s="72"/>
      <x:c r="H5" s="44" t="str">
        <x:v>Phase 1</x:v>
      </x:c>
      <x:c r="I5" s="243" t="n">
        <x:f>SUMPRODUCT(('Module Audit'!$A$2:$A$27=H5)*'Module Audit'!$C$2:$C$27*'Module Audit'!$D$2:$D$27)/SUMIF('Module Audit'!$A$2:$A$27,H5,'Module Audit'!$C$2:$C$27)</x:f>
        <x:v>0.9187500000000001</x:v>
      </x:c>
    </x:row>
    <x:row r="6">
      <x:c r="A6" s="163" t="n">
        <x:f>'Module Audit'!D28</x:f>
        <x:v>0.6225999999999999</x:v>
      </x:c>
      <x:c r="B6" s="164"/>
      <x:c r="C6" s="165" t="n">
        <x:f>1-A6</x:f>
        <x:v>0.37740000000000007</x:v>
      </x:c>
      <x:c r="D6" s="166"/>
      <x:c r="E6" s="167" t="n">
        <x:f>(COUNTIF('Acceptance Evidence'!C2:C29,"完成")+0.5*COUNTIF('Acceptance Evidence'!C2:C29,"部分完成"))/COUNTA('Acceptance Evidence'!B2:B29)</x:f>
        <x:v>0.8928571428571429</x:v>
      </x:c>
      <x:c r="F6" s="168"/>
      <x:c r="H6" s="44" t="str">
        <x:v>Phase 2</x:v>
      </x:c>
      <x:c r="I6" s="243" t="n">
        <x:f>SUMPRODUCT(('Module Audit'!$A$2:$A$27=H6)*'Module Audit'!$C$2:$C$27*'Module Audit'!$D$2:$D$27)/SUMIF('Module Audit'!$A$2:$A$27,H6,'Module Audit'!$C$2:$C$27)</x:f>
        <x:v>0.6722222222222222</x:v>
      </x:c>
    </x:row>
    <x:row r="7">
      <x:c r="A7" s="169"/>
      <x:c r="B7" s="170"/>
      <x:c r="C7" s="171"/>
      <x:c r="D7" s="172"/>
      <x:c r="E7" s="173"/>
      <x:c r="F7" s="174"/>
      <x:c r="H7" s="44" t="str">
        <x:v>Phase 3</x:v>
      </x:c>
      <x:c r="I7" s="243" t="n">
        <x:f>SUMPRODUCT(('Module Audit'!$A$2:$A$27=H7)*'Module Audit'!$C$2:$C$27*'Module Audit'!$D$2:$D$27)/SUMIF('Module Audit'!$A$2:$A$27,H7,'Module Audit'!$C$2:$C$27)</x:f>
        <x:v>0.7439999999999999</x:v>
      </x:c>
    </x:row>
    <x:row r="8">
      <x:c r="H8" s="44" t="str">
        <x:v>Phase 4</x:v>
      </x:c>
      <x:c r="I8" s="243" t="n">
        <x:f>SUMPRODUCT(('Module Audit'!$A$2:$A$27=H8)*'Module Audit'!$C$2:$C$27*'Module Audit'!$D$2:$D$27)/SUMIF('Module Audit'!$A$2:$A$27,H8,'Module Audit'!$C$2:$C$27)</x:f>
        <x:v>0.38888888888888895</x:v>
      </x:c>
    </x:row>
    <x:row r="9">
      <x:c r="A9" s="188" t="str">
        <x:v>DoD 完成</x:v>
      </x:c>
      <x:c r="B9" s="188" t="str">
        <x:v>DoD 部分</x:v>
      </x:c>
      <x:c r="C9" s="188" t="str">
        <x:v>DoD 未完成</x:v>
      </x:c>
      <x:c r="D9" s="188" t="str">
        <x:v>自动化测试</x:v>
      </x:c>
      <x:c r="E9" s="188" t="str">
        <x:v>HTTP Smoke</x:v>
      </x:c>
      <x:c r="F9" s="188" t="str">
        <x:v>GitHub 发布</x:v>
      </x:c>
      <x:c r="H9" s="44" t="str">
        <x:v>Phase 5</x:v>
      </x:c>
      <x:c r="I9" s="243" t="n">
        <x:f>SUMPRODUCT(('Module Audit'!$A$2:$A$27=H9)*'Module Audit'!$C$2:$C$27*'Module Audit'!$D$2:$D$27)/SUMIF('Module Audit'!$A$2:$A$27,H9,'Module Audit'!$C$2:$C$27)</x:f>
        <x:v>0.6875</x:v>
      </x:c>
    </x:row>
    <x:row r="10">
      <x:c r="A10" s="195" t="n">
        <x:f>COUNTIF('Acceptance Evidence'!C2:C29,"完成")</x:f>
        <x:v>23</x:v>
      </x:c>
      <x:c r="B10" s="196" t="n">
        <x:f>COUNTIF('Acceptance Evidence'!C2:C29,"部分完成")</x:f>
        <x:v>4</x:v>
      </x:c>
      <x:c r="C10" s="196" t="n">
        <x:f>COUNTIF('Acceptance Evidence'!C2:C29,"未完成")</x:f>
        <x:v>1</x:v>
      </x:c>
      <x:c r="D10" s="196" t="n">
        <x:v>27</x:v>
      </x:c>
      <x:c r="E10" s="196" t="str">
        <x:v>10/10 PASS</x:v>
      </x:c>
      <x:c r="F10" s="197" t="str">
        <x:v>BLOCKED 403</x:v>
      </x:c>
      <x:c r="H10" s="44" t="str">
        <x:v>Phase 6</x:v>
      </x:c>
      <x:c r="I10" s="243" t="n">
        <x:f>SUMPRODUCT(('Module Audit'!$A$2:$A$27=H10)*'Module Audit'!$C$2:$C$27*'Module Audit'!$D$2:$D$27)/SUMIF('Module Audit'!$A$2:$A$27,H10,'Module Audit'!$C$2:$C$27)</x:f>
        <x:v>0.23888888888888887</x:v>
      </x:c>
    </x:row>
    <x:row r="11">
      <x:c r="H11" s="44" t="str">
        <x:v>Cross-cutting</x:v>
      </x:c>
      <x:c r="I11" s="243" t="n">
        <x:f>SUMPRODUCT(('Module Audit'!$A$2:$A$27=H11)*'Module Audit'!$C$2:$C$27*'Module Audit'!$D$2:$D$27)/SUMIF('Module Audit'!$A$2:$A$27,H11,'Module Audit'!$C$2:$C$27)</x:f>
        <x:v>0.72</x:v>
      </x:c>
    </x:row>
    <x:row r="12" ht="44" customHeight="1">
      <x:c r="A12" s="209" t="str">
        <x:v>审核原则：只有代码、测试和可运行证据同时满足时，才在相应边界内标记“有信心 100%”。PostgreSQL、Docker、OIDC 和真实浏览器没有运行证据，均未标 100%。</x:v>
      </x:c>
      <x:c r="B12" s="210"/>
      <x:c r="C12" s="210"/>
      <x:c r="D12" s="210"/>
      <x:c r="E12" s="210"/>
      <x:c r="F12" s="211"/>
      <x:c r="H12" s="47" t="str">
        <x:v>Testing</x:v>
      </x:c>
      <x:c r="I12" s="244" t="n">
        <x:f>SUMPRODUCT(('Module Audit'!$A$2:$A$27=H12)*'Module Audit'!$C$2:$C$27*'Module Audit'!$D$2:$D$27)/SUMIF('Module Audit'!$A$2:$A$27,H12,'Module Audit'!$C$2:$C$27)</x:f>
        <x:v>0.65</x:v>
      </x:c>
    </x:row>
    <x:row r="14">
      <x:c r="A14" s="188" t="str">
        <x:v>核心已闭合</x:v>
      </x:c>
      <x:c r="B14" s="188" t="str">
        <x:v>需要硬化</x:v>
      </x:c>
      <x:c r="C14" s="188" t="str">
        <x:v>明显未完成</x:v>
      </x:c>
      <x:c r="D14" s="188" t="str">
        <x:v>远端状态</x:v>
      </x:c>
      <x:c r="E14" s="188" t="str">
        <x:v>代码规模</x:v>
      </x:c>
      <x:c r="F14" s="188" t="str">
        <x:v>测试状态</x:v>
      </x:c>
    </x:row>
    <x:row r="15" ht="28" customHeight="1">
      <x:c r="A15" s="222" t="str">
        <x:v>租户应用隔离</x:v>
      </x:c>
      <x:c r="B15" s="223" t="str">
        <x:v>PostgreSQL RLS 实跑</x:v>
      </x:c>
      <x:c r="C15" s="223" t="str">
        <x:v>2D 编辑器</x:v>
      </x:c>
      <x:c r="D15" s="223" t="str">
        <x:v>GitHub connector 只读</x:v>
      </x:c>
      <x:c r="E15" s="223" t="str">
        <x:v>67 files</x:v>
      </x:c>
      <x:c r="F15" s="224" t="str">
        <x:v>27/27 PASS</x:v>
      </x:c>
    </x:row>
    <x:row r="16" ht="28" customHeight="1">
      <x:c r="A16" s="15" t="str">
        <x:v>范围化承包商授权</x:v>
      </x:c>
      <x:c r="B16" s="10" t="str">
        <x:v>OIDC JWT</x:v>
      </x:c>
      <x:c r="C16" s="10" t="str">
        <x:v>Import/Export</x:v>
      </x:c>
      <x:c r="D16" s="10" t="str">
        <x:v>branch/PR create 403</x:v>
      </x:c>
      <x:c r="E16" s="10" t="str">
        <x:v>≈7,005 lines</x:v>
      </x:c>
      <x:c r="F16" s="16" t="str">
        <x:v>Fresh migration PASS</x:v>
      </x:c>
    </x:row>
    <x:row r="17" ht="28" customHeight="1">
      <x:c r="A17" s="15" t="str">
        <x:v>核心 Rack/Port/Trace</x:v>
      </x:c>
      <x:c r="B17" s="10" t="str">
        <x:v>浏览器/WebGL E2E</x:v>
      </x:c>
      <x:c r="C17" s="10" t="str">
        <x:v>Secure object storage</x:v>
      </x:c>
      <x:c r="D17" s="10" t="str">
        <x:v>main 未改动</x:v>
      </x:c>
      <x:c r="E17" s="10" t="str">
        <x:v>Wheel build PASS</x:v>
      </x:c>
      <x:c r="F17" s="16" t="str">
        <x:v>Seed twice PASS</x:v>
      </x:c>
    </x:row>
    <x:row r="18" ht="36" customHeight="1">
      <x:c r="A18" s="17" t="str">
        <x:v>Install/Test/Approve/Audit</x:v>
      </x:c>
      <x:c r="B18" s="18" t="str">
        <x:v>深度 fiber 模型</x:v>
      </x:c>
      <x:c r="C18" s="18" t="str">
        <x:v>NetBox/Webhook/PWA</x:v>
      </x:c>
      <x:c r="D18" s="18" t="str">
        <x:v>本地包可交付</x:v>
      </x:c>
      <x:c r="E18" s="18" t="str">
        <x:v>JS syntax PASS</x:v>
      </x:c>
      <x:c r="F18" s="19" t="str">
        <x:v>Trace exact PASS</x:v>
      </x:c>
    </x:row>
  </x:sheetData>
  <x:mergeCells>
    <x:mergeCell ref="A1:F2"/>
    <x:mergeCell ref="A5:B5"/>
    <x:mergeCell ref="A6:B7"/>
    <x:mergeCell ref="C5:D5"/>
    <x:mergeCell ref="C6:D7"/>
    <x:mergeCell ref="E5:F5"/>
    <x:mergeCell ref="E6:F7"/>
    <x:mergeCell ref="A12:F12"/>
  </x:mergeCells>
  <x:pageMargins left="0.7" right="0.7" top="0.75" bottom="0.75" header="0.3" footer="0.3"/>
  <x:drawing xmlns:r="http://schemas.openxmlformats.org/officeDocument/2006/relationships" r:id="Rab6e2842cbc24120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8" hidden="0" customWidth="1"/>
    <x:col min="3" max="3" width="9" hidden="0" customWidth="1"/>
    <x:col min="4" max="4" width="11" hidden="0" customWidth="1"/>
    <x:col min="5" max="5" width="11" hidden="0" customWidth="1"/>
    <x:col min="6" max="6" width="18" hidden="0" customWidth="1"/>
    <x:col min="7" max="7" width="44" hidden="0" customWidth="1"/>
    <x:col min="8" max="8" width="44" hidden="0" customWidth="1"/>
    <x:col min="9" max="9" width="28" hidden="0" customWidth="1"/>
  </x:cols>
  <x:sheetData>
    <x:row r="1" ht="28" customHeight="1">
      <x:c r="A1" s="12" t="str">
        <x:v>阶段</x:v>
      </x:c>
      <x:c r="B1" s="13" t="str">
        <x:v>模块</x:v>
      </x:c>
      <x:c r="C1" s="13" t="str">
        <x:v>权重</x:v>
      </x:c>
      <x:c r="D1" s="13" t="str">
        <x:v>完成度</x:v>
      </x:c>
      <x:c r="E1" s="13" t="str">
        <x:v>审核信心</x:v>
      </x:c>
      <x:c r="F1" s="13" t="str">
        <x:v>状态</x:v>
      </x:c>
      <x:c r="G1" s="13" t="str">
        <x:v>验证证据</x:v>
      </x:c>
      <x:c r="H1" s="13" t="str">
        <x:v>尚未完成</x:v>
      </x:c>
      <x:c r="I1" s="14" t="str">
        <x:v>有信心100%？</x:v>
      </x:c>
    </x:row>
    <x:row r="2">
      <x:c r="A2" s="15" t="str">
        <x:v>Phase 0</x:v>
      </x:c>
      <x:c r="B2" s="10" t="str">
        <x:v>仓库与模块化单体基础</x:v>
      </x:c>
      <x:c r="C2" s="28" t="n">
        <x:v>0.02</x:v>
      </x:c>
      <x:c r="D2" s="28" t="n">
        <x:v>1</x:v>
      </x:c>
      <x:c r="E2" s="28" t="n">
        <x:v>1</x:v>
      </x:c>
      <x:c r="F2" s="10" t="str">
        <x:v>已验证完成</x:v>
      </x:c>
      <x:c r="G2" s="10" t="str">
        <x:v>67 个交付文件；FastAPI/SQLAlchemy/Alembic/Web UI/infra/docs 分层；Python wheel 可构建</x:v>
      </x:c>
      <x:c r="H2" s="10" t="str">
        <x:v>无（仅指本纵向链路脚手架）</x:v>
      </x:c>
      <x:c r="I2" s="16" t="str">
        <x:v>是：脚手架和编译/构建边界</x:v>
      </x:c>
    </x:row>
    <x:row r="3">
      <x:c r="A3" s="15" t="str">
        <x:v>Phase 0</x:v>
      </x:c>
      <x:c r="B3" s="10" t="str">
        <x:v>显式领域模型与迁移</x:v>
      </x:c>
      <x:c r="C3" s="28" t="n">
        <x:v>0.03</x:v>
      </x:c>
      <x:c r="D3" s="28" t="n">
        <x:v>0.82</x:v>
      </x:c>
      <x:c r="E3" s="28" t="n">
        <x:v>0.95</x:v>
      </x:c>
      <x:c r="F3" s="10" t="str">
        <x:v>大部分完成</x:v>
      </x:c>
      <x:c r="G3" s="10" t="str">
        <x:v>组织、租户、项目、位置、机架、设备、端口、路径、线缆、工单、测试、标签、审计；空库 Alembic 成功</x:v>
      </x:c>
      <x:c r="H3" s="10" t="str">
        <x:v>bundle/strand/splice/module/change-request/document 等完整实体未齐</x:v>
      </x:c>
      <x:c r="I3" s="16" t="str">
        <x:v>否：主范围实体仍有缺口</x:v>
      </x:c>
    </x:row>
    <x:row r="4">
      <x:c r="A4" s="15" t="str">
        <x:v>Phase 0</x:v>
      </x:c>
      <x:c r="B4" s="10" t="str">
        <x:v>应用层租户隔离</x:v>
      </x:c>
      <x:c r="C4" s="28" t="n">
        <x:v>0.04</x:v>
      </x:c>
      <x:c r="D4" s="28" t="n">
        <x:v>1</x:v>
      </x:c>
      <x:c r="E4" s="28" t="n">
        <x:v>1</x:v>
      </x:c>
      <x:c r="F4" s="10" t="str">
        <x:v>已验证完成</x:v>
      </x:c>
      <x:c r="G4" s="10" t="str">
        <x:v>自动 query criteria、跨租户写 guard、tenant unique constraints；负向读取/写入测试通过</x:v>
      </x:c>
      <x:c r="H4" s="10" t="str">
        <x:v>只对当前已实现资源和 ORM 路径作出结论</x:v>
      </x:c>
      <x:c r="I4" s="16" t="str">
        <x:v>是：当前资源与测试边界</x:v>
      </x:c>
    </x:row>
    <x:row r="5">
      <x:c r="A5" s="15" t="str">
        <x:v>Phase 0</x:v>
      </x:c>
      <x:c r="B5" s="10" t="str">
        <x:v>PostgreSQL Forced RLS</x:v>
      </x:c>
      <x:c r="C5" s="28" t="n">
        <x:v>0.03</x:v>
      </x:c>
      <x:c r="D5" s="28" t="n">
        <x:v>0.85</x:v>
      </x:c>
      <x:c r="E5" s="28" t="n">
        <x:v>0.85</x:v>
      </x:c>
      <x:c r="F5" s="10" t="str">
        <x:v>配置完成/运行未实证</x:v>
      </x:c>
      <x:c r="G5" s="10" t="str">
        <x:v>所有 tenant 表 policy coverage 测试、FORCE RLS、平台 BYPASSRLS 角色、审计触发器迁移</x:v>
      </x:c>
      <x:c r="H5" s="10" t="str">
        <x:v>当前环境无 PostgreSQL/Docker，未用普通 DB 角色实跑攻击测试</x:v>
      </x:c>
      <x:c r="I5" s="16" t="str">
        <x:v>否：缺真实 PostgreSQL 运行证据</x:v>
      </x:c>
    </x:row>
    <x:row r="6">
      <x:c r="A6" s="15" t="str">
        <x:v>Phase 0</x:v>
      </x:c>
      <x:c r="B6" s="10" t="str">
        <x:v>OIDC / SSO / MFA 身份</x:v>
      </x:c>
      <x:c r="C6" s="28" t="n">
        <x:v>0.04</x:v>
      </x:c>
      <x:c r="D6" s="28" t="n">
        <x:v>0.25</x:v>
      </x:c>
      <x:c r="E6" s="28" t="n">
        <x:v>0.6</x:v>
      </x:c>
      <x:c r="F6" s="10" t="str">
        <x:v>仅脚手架</x:v>
      </x:c>
      <x:c r="G6" s="10" t="str">
        <x:v>Keycloak realm、issuer/audience 配置、演示主体模型</x:v>
      </x:c>
      <x:c r="H6" s="10" t="str">
        <x:v>JWT 验签、会话、MFA 策略、外部 IdP、SCIM/SAML 均未接通</x:v>
      </x:c>
      <x:c r="I6" s="16" t="str">
        <x:v>否</x:v>
      </x:c>
    </x:row>
    <x:row r="7">
      <x:c r="A7" s="15" t="str">
        <x:v>Phase 0/5</x:v>
      </x:c>
      <x:c r="B7" s="10" t="str">
        <x:v>组织、成员与承包商 AccessGrant</x:v>
      </x:c>
      <x:c r="C7" s="28" t="n">
        <x:v>0.04</x:v>
      </x:c>
      <x:c r="D7" s="28" t="n">
        <x:v>0.95</x:v>
      </x:c>
      <x:c r="E7" s="28" t="n">
        <x:v>1</x:v>
      </x:c>
      <x:c r="F7" s="10" t="str">
        <x:v>核心完成</x:v>
      </x:c>
      <x:c r="G7" s="10" t="str">
        <x:v>承包商不成为客户成员；项目+位置子树+权限+时间范围；越界和过期测试通过</x:v>
      </x:c>
      <x:c r="H7" s="10" t="str">
        <x:v>邀请邮件、组授权、自动到期 scheduler/通知未实现</x:v>
      </x:c>
      <x:c r="I7" s="16" t="str">
        <x:v>是：当前范围授权判定</x:v>
      </x:c>
    </x:row>
    <x:row r="8">
      <x:c r="A8" s="15" t="str">
        <x:v>Phase 1</x:v>
      </x:c>
      <x:c r="B8" s="10" t="str">
        <x:v>灵活位置层级</x:v>
      </x:c>
      <x:c r="C8" s="28" t="n">
        <x:v>0.03</x:v>
      </x:c>
      <x:c r="D8" s="28" t="n">
        <x:v>0.95</x:v>
      </x:c>
      <x:c r="E8" s="28" t="n">
        <x:v>1</x:v>
      </x:c>
      <x:c r="F8" s="10" t="str">
        <x:v>核心完成</x:v>
      </x:c>
      <x:c r="G8" s="10" t="str">
        <x:v>typed self-referencing Location；Campus/Building/Floor/TR/MDF/MMR/Data Hall/Row demo</x:v>
      </x:c>
      <x:c r="H8" s="10" t="str">
        <x:v>floor-plan 文件、批量移动和层级 UI 编辑未实现</x:v>
      </x:c>
      <x:c r="I8" s="16" t="str">
        <x:v>是：持久化层级与 API</x:v>
      </x:c>
    </x:row>
    <x:row r="9">
      <x:c r="A9" s="15" t="str">
        <x:v>Phase 1</x:v>
      </x:c>
      <x:c r="B9" s="10" t="str">
        <x:v>机架、模板、设备与端口</x:v>
      </x:c>
      <x:c r="C9" s="28" t="n">
        <x:v>0.05</x:v>
      </x:c>
      <x:c r="D9" s="28" t="n">
        <x:v>0.9</x:v>
      </x:c>
      <x:c r="E9" s="28" t="n">
        <x:v>1</x:v>
      </x:c>
      <x:c r="F9" s="10" t="str">
        <x:v>核心完成</x:v>
      </x:c>
      <x:c r="G9" s="10" t="str">
        <x:v>42/45/48/custom U；模板自动端口与前后映射；reserved U/越界/重叠约束；rack elevation</x:v>
      </x:c>
      <x:c r="H9" s="10" t="str">
        <x:v>PDU/电力/重量、模块槽位、完整 rear/side 编辑、厂商库未完成</x:v>
      </x:c>
      <x:c r="I9" s="16" t="str">
        <x:v>是：当前核心创建与冲突规则</x:v>
      </x:c>
    </x:row>
    <x:row r="10">
      <x:c r="A10" s="15" t="str">
        <x:v>Phase 2</x:v>
      </x:c>
      <x:c r="B10" s="10" t="str">
        <x:v>Copper/Fiber 线缆记录</x:v>
      </x:c>
      <x:c r="C10" s="28" t="n">
        <x:v>0.05</x:v>
      </x:c>
      <x:c r="D10" s="28" t="n">
        <x:v>0.78</x:v>
      </x:c>
      <x:c r="E10" s="28" t="n">
        <x:v>0.95</x:v>
      </x:c>
      <x:c r="F10" s="10" t="str">
        <x:v>大部分完成</x:v>
      </x:c>
      <x:c r="G10" s="10" t="str">
        <x:v>一等 Cable、状态、A/B 终端、介质校验、路径、OS2 trunk 和 Cat6A demo</x:v>
      </x:c>
      <x:c r="H10" s="10" t="str">
        <x:v>制造商/所有权附件细节、完整多芯生命周期、拆分关系未完成</x:v>
      </x:c>
      <x:c r="I10" s="16" t="str">
        <x:v>否</x:v>
      </x:c>
    </x:row>
    <x:row r="11">
      <x:c r="A11" s="15" t="str">
        <x:v>Phase 2</x:v>
      </x:c>
      <x:c r="B11" s="10" t="str">
        <x:v>Bundle / Strand / Splice / Breakout</x:v>
      </x:c>
      <x:c r="C11" s="28" t="n">
        <x:v>0.04</x:v>
      </x:c>
      <x:c r="D11" s="28" t="n">
        <x:v>0.2</x:v>
      </x:c>
      <x:c r="E11" s="28" t="n">
        <x:v>0.4</x:v>
      </x:c>
      <x:c r="F11" s="10" t="str">
        <x:v>早期/未闭合</x:v>
      </x:c>
      <x:c r="G11" s="10" t="str">
        <x:v>Cable 有 strand_count，PortMapping 有 lane 扩展位</x:v>
      </x:c>
      <x:c r="H11" s="10" t="str">
        <x:v>CableBundle、FiberStrand、Splice、Cassette、pair/channel 独立追踪实体未实现</x:v>
      </x:c>
      <x:c r="I11" s="16" t="str">
        <x:v>否</x:v>
      </x:c>
    </x:row>
    <x:row r="12">
      <x:c r="A12" s="15" t="str">
        <x:v>Phase 2</x:v>
      </x:c>
      <x:c r="B12" s="10" t="str">
        <x:v>动态物理连通与 Cable Trace</x:v>
      </x:c>
      <x:c r="C12" s="28" t="n">
        <x:v>0.05</x:v>
      </x:c>
      <x:c r="D12" s="28" t="n">
        <x:v>0.92</x:v>
      </x:c>
      <x:c r="E12" s="28" t="n">
        <x:v>1</x:v>
      </x:c>
      <x:c r="F12" s="10" t="str">
        <x:v>核心完成</x:v>
      </x:c>
      <x:c r="G12" s="10" t="str">
        <x:v>真实 graph traversal；端口→线缆→端口→内部映射→端口→线缆→端口精确序列 smoke 验证</x:v>
      </x:c>
      <x:c r="H12" s="10" t="str">
        <x:v>复杂多分支 fiber、环路诊断和百万节点性能基准未完成</x:v>
      </x:c>
      <x:c r="I12" s="16" t="str">
        <x:v>是：当前点到点/patch-panel 路径</x:v>
      </x:c>
    </x:row>
    <x:row r="13">
      <x:c r="A13" s="15" t="str">
        <x:v>Phase 2</x:v>
      </x:c>
      <x:c r="B13" s="10" t="str">
        <x:v>Pathway 与容量</x:v>
      </x:c>
      <x:c r="C13" s="28" t="n">
        <x:v>0.04</x:v>
      </x:c>
      <x:c r="D13" s="28" t="n">
        <x:v>0.7</x:v>
      </x:c>
      <x:c r="E13" s="28" t="n">
        <x:v>0.95</x:v>
      </x:c>
      <x:c r="F13" s="10" t="str">
        <x:v>部分完成</x:v>
      </x:c>
      <x:c r="G13" s="10" t="str">
        <x:v>Pathway/Segment、坐标、长度、capacity/reserved、ordered route、路径 3D 高亮</x:v>
      </x:c>
      <x:c r="H13" s="10" t="str">
        <x:v>fill 计算、计划容量、节点编辑、复杂连通网络和预测未完成</x:v>
      </x:c>
      <x:c r="I13" s="16" t="str">
        <x:v>否</x:v>
      </x:c>
    </x:row>
    <x:row r="14">
      <x:c r="A14" s="15" t="str">
        <x:v>Phase 3</x:v>
      </x:c>
      <x:c r="B14" s="10" t="str">
        <x:v>标准 Profile 与标识符引擎</x:v>
      </x:c>
      <x:c r="C14" s="28" t="n">
        <x:v>0.04</x:v>
      </x:c>
      <x:c r="D14" s="28" t="n">
        <x:v>0.75</x:v>
      </x:c>
      <x:c r="E14" s="28" t="n">
        <x:v>0.85</x:v>
      </x:c>
      <x:c r="F14" s="10" t="str">
        <x:v>部分完成</x:v>
      </x:c>
      <x:c r="G14" s="10" t="str">
        <x:v>TIA-606-D 可配置 profile、模板渲染、规范化、唯一性、future edition 可迁移</x:v>
      </x:c>
      <x:c r="H14" s="10" t="str">
        <x:v>Strict/Custom 全策略执行、完整 required-record 规则、授权条款映射未完成</x:v>
      </x:c>
      <x:c r="I14" s="16" t="str">
        <x:v>否</x:v>
      </x:c>
    </x:row>
    <x:row r="15">
      <x:c r="A15" s="15" t="str">
        <x:v>Phase 3</x:v>
      </x:c>
      <x:c r="B15" s="10" t="str">
        <x:v>标签与 QR</x:v>
      </x:c>
      <x:c r="C15" s="28" t="n">
        <x:v>0.03</x:v>
      </x:c>
      <x:c r="D15" s="28" t="n">
        <x:v>0.8</x:v>
      </x:c>
      <x:c r="E15" s="28" t="n">
        <x:v>0.95</x:v>
      </x:c>
      <x:c r="F15" s="10" t="str">
        <x:v>大部分完成</x:v>
      </x:c>
      <x:c r="G15" s="10" t="str">
        <x:v>权限保护记录 URL、SVG QR、label audit、现场 UI 预览</x:v>
      </x:c>
      <x:c r="H15" s="10" t="str">
        <x:v>批量标签、打印 sheet、工业打印机、真实摄像头扫描未完成</x:v>
      </x:c>
      <x:c r="I15" s="16" t="str">
        <x:v>否</x:v>
      </x:c>
    </x:row>
    <x:row r="16">
      <x:c r="A16" s="15" t="str">
        <x:v>Phase 3</x:v>
      </x:c>
      <x:c r="B16" s="10" t="str">
        <x:v>TIA-606 辅助合规报告</x:v>
      </x:c>
      <x:c r="C16" s="28" t="n">
        <x:v>0.03</x:v>
      </x:c>
      <x:c r="D16" s="28" t="n">
        <x:v>0.68</x:v>
      </x:c>
      <x:c r="E16" s="28" t="n">
        <x:v>0.9</x:v>
      </x:c>
      <x:c r="F16" s="10" t="str">
        <x:v>部分完成</x:v>
      </x:c>
      <x:c r="G16" s="10" t="str">
        <x:v>重复/格式/终端/未验证发现、分数、建议、法律免责声明、mapping matrix</x:v>
      </x:c>
      <x:c r="H16" s="10" t="str">
        <x:v>missing mandatory、outdated format、完整例外审批、授权条款级规则未完成</x:v>
      </x:c>
      <x:c r="I16" s="16" t="str">
        <x:v>否</x:v>
      </x:c>
    </x:row>
    <x:row r="17">
      <x:c r="A17" s="15" t="str">
        <x:v>Phase 5</x:v>
      </x:c>
      <x:c r="B17" s="10" t="str">
        <x:v>项目、工单、安装、测试、审批与审计</x:v>
      </x:c>
      <x:c r="C17" s="28" t="n">
        <x:v>0.05</x:v>
      </x:c>
      <x:c r="D17" s="28" t="n">
        <x:v>0.83</x:v>
      </x:c>
      <x:c r="E17" s="28" t="n">
        <x:v>1</x:v>
      </x:c>
      <x:c r="F17" s="10" t="str">
        <x:v>核心完成</x:v>
      </x:c>
      <x:c r="G17" s="10" t="str">
        <x:v>STAGED→INSTALLED→TESTED→IN_SERVICE；独立审批；失败审批拒绝；append-only audit</x:v>
      </x:c>
      <x:c r="H17" s="10" t="str">
        <x:v>完整 ChangeRequest/Task/Approval/InstallationRecord、planned vs as-built 时间模型未完成</x:v>
      </x:c>
      <x:c r="I17" s="16" t="str">
        <x:v>是：当前演示工作流</x:v>
      </x:c>
    </x:row>
    <x:row r="18">
      <x:c r="A18" s="15" t="str">
        <x:v>Phase 0/6</x:v>
      </x:c>
      <x:c r="B18" s="10" t="str">
        <x:v>Dashboard、全局搜索与报告</x:v>
      </x:c>
      <x:c r="C18" s="28" t="n">
        <x:v>0.02</x:v>
      </x:c>
      <x:c r="D18" s="28" t="n">
        <x:v>0.75</x:v>
      </x:c>
      <x:c r="E18" s="28" t="n">
        <x:v>0.95</x:v>
      </x:c>
      <x:c r="F18" s="10" t="str">
        <x:v>部分完成</x:v>
      </x:c>
      <x:c r="G18" s="10" t="str">
        <x:v>真实租户计数、工单、机架/合规 KPI、exact identifier 优先搜索</x:v>
      </x:c>
      <x:c r="H18" s="10" t="str">
        <x:v>要求的全部报告、图表趋势、XLSX/CSV 导出、复杂筛选未完成</x:v>
      </x:c>
      <x:c r="I18" s="16" t="str">
        <x:v>否</x:v>
      </x:c>
    </x:row>
    <x:row r="19">
      <x:c r="A19" s="15" t="str">
        <x:v>Cross-cutting</x:v>
      </x:c>
      <x:c r="B19" s="10" t="str">
        <x:v>REST API / OpenAPI</x:v>
      </x:c>
      <x:c r="C19" s="28" t="n">
        <x:v>0.03</x:v>
      </x:c>
      <x:c r="D19" s="28" t="n">
        <x:v>0.72</x:v>
      </x:c>
      <x:c r="E19" s="28" t="n">
        <x:v>0.95</x:v>
      </x:c>
      <x:c r="F19" s="10" t="str">
        <x:v>部分完成</x:v>
      </x:c>
      <x:c r="G19" s="10" t="str">
        <x:v>位置、机架、模板、设备、端口、路径、线缆、追踪、工单、测试、授权、标签、审计等 endpoint</x:v>
      </x:c>
      <x:c r="H19" s="10" t="str">
        <x:v>统一分页/排序、Idempotency、ETag、bulk、bundle/document/change endpoints 未完成</x:v>
      </x:c>
      <x:c r="I19" s="16" t="str">
        <x:v>否</x:v>
      </x:c>
    </x:row>
    <x:row r="20">
      <x:c r="A20" s="15" t="str">
        <x:v>Phase 4</x:v>
      </x:c>
      <x:c r="B20" s="10" t="str">
        <x:v>2D Floor Plan Editor</x:v>
      </x:c>
      <x:c r="C20" s="28" t="n">
        <x:v>0.04</x:v>
      </x:c>
      <x:c r="D20" s="28" t="n">
        <x:v>0.1</x:v>
      </x:c>
      <x:c r="E20" s="28" t="n">
        <x:v>0.3</x:v>
      </x:c>
      <x:c r="F20" s="10" t="str">
        <x:v>未实现主体</x:v>
      </x:c>
      <x:c r="G20" s="10" t="str">
        <x:v>位置和路径坐标的数据基础已存在</x:v>
      </x:c>
      <x:c r="H20" s="10" t="str">
        <x:v>背景上传、选取、拖放、缩放、吸附、测量、绘制/编辑器均未实现</x:v>
      </x:c>
      <x:c r="I20" s="16" t="str">
        <x:v>否</x:v>
      </x:c>
    </x:row>
    <x:row r="21">
      <x:c r="A21" s="15" t="str">
        <x:v>Phase 4</x:v>
      </x:c>
      <x:c r="B21" s="10" t="str">
        <x:v>3D 机架与选中路径</x:v>
      </x:c>
      <x:c r="C21" s="28" t="n">
        <x:v>0.05</x:v>
      </x:c>
      <x:c r="D21" s="28" t="n">
        <x:v>0.62</x:v>
      </x:c>
      <x:c r="E21" s="28" t="n">
        <x:v>0.8</x:v>
      </x:c>
      <x:c r="F21" s="10" t="str">
        <x:v>功能性基础</x:v>
      </x:c>
      <x:c r="G21" s="10" t="str">
        <x:v>原生 WebGL、透视/正交、orbit/zoom、front/rear、U 位几何、拾取、数据驱动 route</x:v>
      </x:c>
      <x:c r="H21" s="10" t="str">
        <x:v>完整设施编辑、拖放保存、GLTF/BIM、LOD/instancing、浏览器视觉回归和性能测试未完成</x:v>
      </x:c>
      <x:c r="I21" s="16" t="str">
        <x:v>否</x:v>
      </x:c>
    </x:row>
    <x:row r="22">
      <x:c r="A22" s="15" t="str">
        <x:v>Phase 5</x:v>
      </x:c>
      <x:c r="B22" s="10" t="str">
        <x:v>现场技术员 UX / PWA</x:v>
      </x:c>
      <x:c r="C22" s="28" t="n">
        <x:v>0.03</x:v>
      </x:c>
      <x:c r="D22" s="28" t="n">
        <x:v>0.45</x:v>
      </x:c>
      <x:c r="E22" s="28" t="n">
        <x:v>0.8</x:v>
      </x:c>
      <x:c r="F22" s="10" t="str">
        <x:v>部分完成</x:v>
      </x:c>
      <x:c r="G22" s="10" t="str">
        <x:v>大按钮 install/test/approve/QR 流程，承包商与主管主体切换，状态实时刷新</x:v>
      </x:c>
      <x:c r="H22" s="10" t="str">
        <x:v>摄像头扫码、照片上传、离线队列、冲突合并、PWA 安装未实现</x:v>
      </x:c>
      <x:c r="I22" s="16" t="str">
        <x:v>否</x:v>
      </x:c>
    </x:row>
    <x:row r="23">
      <x:c r="A23" s="15" t="str">
        <x:v>Phase 6</x:v>
      </x:c>
      <x:c r="B23" s="10" t="str">
        <x:v>文档管理与安全对象存储</x:v>
      </x:c>
      <x:c r="C23" s="28" t="n">
        <x:v>0.04</x:v>
      </x:c>
      <x:c r="D23" s="28" t="n">
        <x:v>0.15</x:v>
      </x:c>
      <x:c r="E23" s="28" t="n">
        <x:v>0.5</x:v>
      </x:c>
      <x:c r="F23" s="10" t="str">
        <x:v>未实现主体</x:v>
      </x:c>
      <x:c r="G23" s="10" t="str">
        <x:v>环境配置和 TestRecord attachment_name 扩展点</x:v>
      </x:c>
      <x:c r="H23" s="10" t="str">
        <x:v>上传、授权继承、病毒扫描、版本、签名 URL、备份均未实现</x:v>
      </x:c>
      <x:c r="I23" s="16" t="str">
        <x:v>否</x:v>
      </x:c>
    </x:row>
    <x:row r="24">
      <x:c r="A24" s="15" t="str">
        <x:v>Phase 6</x:v>
      </x:c>
      <x:c r="B24" s="10" t="str">
        <x:v>Import/Export、NetBox、Webhook、Integrations</x:v>
      </x:c>
      <x:c r="C24" s="28" t="n">
        <x:v>0.06</x:v>
      </x:c>
      <x:c r="D24" s="28" t="n">
        <x:v>0.05</x:v>
      </x:c>
      <x:c r="E24" s="28" t="n">
        <x:v>0.3</x:v>
      </x:c>
      <x:c r="F24" s="10" t="str">
        <x:v>设计为主</x:v>
      </x:c>
      <x:c r="G24" s="10" t="str">
        <x:v>NetBox adapter ADR/映射设计</x:v>
      </x:c>
      <x:c r="H24" s="10" t="str">
        <x:v>CSV/XLSX dry-run、export、NetBox client/conflict、signed retry webhook 均未实现</x:v>
      </x:c>
      <x:c r="I24" s="16" t="str">
        <x:v>否</x:v>
      </x:c>
    </x:row>
    <x:row r="25">
      <x:c r="A25" s="15" t="str">
        <x:v>Phase 6</x:v>
      </x:c>
      <x:c r="B25" s="10" t="str">
        <x:v>安全硬化与可观测性</x:v>
      </x:c>
      <x:c r="C25" s="28" t="n">
        <x:v>0.04</x:v>
      </x:c>
      <x:c r="D25" s="28" t="n">
        <x:v>0.4</x:v>
      </x:c>
      <x:c r="E25" s="28" t="n">
        <x:v>0.85</x:v>
      </x:c>
      <x:c r="F25" s="10" t="str">
        <x:v>部分完成</x:v>
      </x:c>
      <x:c r="G25" s="10" t="str">
        <x:v>CSP/headers/request ID、权限/隔离/自审批/审计测试、health/ready</x:v>
      </x:c>
      <x:c r="H25" s="10" t="str">
        <x:v>rate limit、JWT、CSRF/cookie、uploads、SBOM、SAST/DAST、metrics/traces/alerts 未完成</x:v>
      </x:c>
      <x:c r="I25" s="16" t="str">
        <x:v>否</x:v>
      </x:c>
    </x:row>
    <x:row r="26">
      <x:c r="A26" s="15" t="str">
        <x:v>Phase 6</x:v>
      </x:c>
      <x:c r="B26" s="10" t="str">
        <x:v>容器部署、备份与恢复</x:v>
      </x:c>
      <x:c r="C26" s="28" t="n">
        <x:v>0.04</x:v>
      </x:c>
      <x:c r="D26" s="28" t="n">
        <x:v>0.45</x:v>
      </x:c>
      <x:c r="E26" s="28" t="n">
        <x:v>0.75</x:v>
      </x:c>
      <x:c r="F26" s="10" t="str">
        <x:v>配置完成/运行未实证</x:v>
      </x:c>
      <x:c r="G26" s="10" t="str">
        <x:v>Dockerfile、Compose、Keycloak realm、Postgres role init、deployment doc</x:v>
      </x:c>
      <x:c r="H26" s="10" t="str">
        <x:v>当前无 Docker 实跑；Kubernetes、PITR、restore、legal hold、生产 secrets 未完成</x:v>
      </x:c>
      <x:c r="I26" s="16" t="str">
        <x:v>否</x:v>
      </x:c>
    </x:row>
    <x:row r="27">
      <x:c r="A27" s="17" t="str">
        <x:v>Testing</x:v>
      </x:c>
      <x:c r="B27" s="18" t="str">
        <x:v>自动化测试与质量门禁</x:v>
      </x:c>
      <x:c r="C27" s="29" t="n">
        <x:v>0.04</x:v>
      </x:c>
      <x:c r="D27" s="29" t="n">
        <x:v>0.65</x:v>
      </x:c>
      <x:c r="E27" s="29" t="n">
        <x:v>1</x:v>
      </x:c>
      <x:c r="F27" s="18" t="str">
        <x:v>核心测试完成</x:v>
      </x:c>
      <x:c r="G27" s="18" t="str">
        <x:v>27 tests pass；fresh migration；seed twice；10 route smoke；JS syntax；Python compile/wheel</x:v>
      </x:c>
      <x:c r="H27" s="18" t="str">
        <x:v>Playwright E2E、真实 PostgreSQL、WebGL screenshot、accessibility、load/soak、DAST 未完成</x:v>
      </x:c>
      <x:c r="I27" s="19" t="str">
        <x:v>是：本次已执行测试结果；否：完整测试要求</x:v>
      </x:c>
    </x:row>
    <x:row r="28">
      <x:c r="A28" s="34" t="str">
        <x:v>加权总计</x:v>
      </x:c>
      <x:c r="B28" s="35"/>
      <x:c r="C28" s="42" t="n">
        <x:f>SUM(C2:C27)</x:f>
        <x:v>1.0000000000000002</x:v>
      </x:c>
      <x:c r="D28" s="42" t="n">
        <x:f>SUMPRODUCT(C2:C27,D2:D27)/SUM(C2:C27)</x:f>
        <x:v>0.6225999999999999</x:v>
      </x:c>
      <x:c r="E28" s="42" t="n">
        <x:f>SUMPRODUCT(C2:C27,E2:E27)/SUM(C2:C27)</x:f>
        <x:v>0.8145</x:v>
      </x:c>
      <x:c r="F28" s="35"/>
      <x:c r="G28" s="35"/>
      <x:c r="H28" s="35"/>
      <x:c r="I28" s="36"/>
    </x:row>
  </x:sheetData>
  <x:mergeCells>
    <x:mergeCell ref="A28:B28"/>
  </x:mergeCells>
  <x:conditionalFormatting sqref="D2:D27">
    <x:cfRule type="dataBar" priority="1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{1AE1597C-6C23-271D-5F9A-180652FAD1B7}</x14:id>
        </x:ext>
      </x:extLst>
    </x:cfRule>
  </x:conditionalFormatting>
  <x:conditionalFormatting sqref="E2:E27">
    <x:cfRule type="colorScale" priority="2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3cf5e57ec8a44b2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1AE1597C-6C23-271D-5F9A-180652FAD1B7}">
            <x14:dataBar gradient="1">
              <x14:cfvo type="min"/>
              <x14:cfvo type="max"/>
              <x14:fillColor rgb="FF1F4E78"/>
            </x14:dataBar>
          </x14:cfRule>
          <xm:sqref>D2:D27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34" hidden="0" customWidth="1"/>
    <x:col min="3" max="3" width="14" hidden="0" customWidth="1"/>
    <x:col min="4" max="4" width="50" hidden="0" customWidth="1"/>
    <x:col min="5" max="5" width="12" hidden="0" customWidth="1"/>
    <x:col min="6" max="6" width="40" hidden="0" customWidth="1"/>
  </x:cols>
  <x:sheetData>
    <x:row r="1">
      <x:c r="A1" s="12" t="str">
        <x:v>#</x:v>
      </x:c>
      <x:c r="B1" s="13" t="str">
        <x:v>验收项</x:v>
      </x:c>
      <x:c r="C1" s="13" t="str">
        <x:v>结论</x:v>
      </x:c>
      <x:c r="D1" s="13" t="str">
        <x:v>证据</x:v>
      </x:c>
      <x:c r="E1" s="13" t="str">
        <x:v>审核信心</x:v>
      </x:c>
      <x:c r="F1" s="14" t="str">
        <x:v>缺口/边界</x:v>
      </x:c>
    </x:row>
    <x:row r="2">
      <x:c r="A2" s="44" t="n">
        <x:v>1</x:v>
      </x:c>
      <x:c r="B2" s="10" t="str">
        <x:v>Create a tenant</x:v>
      </x:c>
      <x:c r="C2" s="10" t="str">
        <x:v>完成</x:v>
      </x:c>
      <x:c r="D2" s="10" t="str">
        <x:v>POST /platform/bootstrap；Tenant/owner/profile 持久化</x:v>
      </x:c>
      <x:c r="E2" s="55" t="n">
        <x:v>0.95</x:v>
      </x:c>
      <x:c r="F2" s="16" t="str">
        <x:v>缺少 tenant 创建 UI，但 DoD 的 API 能力已存在</x:v>
      </x:c>
    </x:row>
    <x:row r="3">
      <x:c r="A3" s="44" t="n">
        <x:v>2</x:v>
      </x:c>
      <x:c r="B3" s="10" t="str">
        <x:v>Create a campus</x:v>
      </x:c>
      <x:c r="C3" s="10" t="str">
        <x:v>完成</x:v>
      </x:c>
      <x:c r="D3" s="10" t="str">
        <x:v>Location service/API；Northstar Main Campus seed；测试 fixture</x:v>
      </x:c>
      <x:c r="E3" s="55" t="n">
        <x:v>1</x:v>
      </x:c>
      <x:c r="F3" s="16" t="str"/>
    </x:row>
    <x:row r="4">
      <x:c r="A4" s="44" t="n">
        <x:v>3</x:v>
      </x:c>
      <x:c r="B4" s="10" t="str">
        <x:v>Create buildings</x:v>
      </x:c>
      <x:c r="C4" s="10" t="str">
        <x:v>完成</x:v>
      </x:c>
      <x:c r="D4" s="10" t="str">
        <x:v>Administration/Engineering/DC1 typed Building</x:v>
      </x:c>
      <x:c r="E4" s="55" t="n">
        <x:v>1</x:v>
      </x:c>
      <x:c r="F4" s="16" t="str"/>
    </x:row>
    <x:row r="5">
      <x:c r="A5" s="44" t="n">
        <x:v>4</x:v>
      </x:c>
      <x:c r="B5" s="10" t="str">
        <x:v>Create telecommunications rooms</x:v>
      </x:c>
      <x:c r="C5" s="10" t="str">
        <x:v>完成</x:v>
      </x:c>
      <x:c r="D5" s="10" t="str">
        <x:v>TR/MDF/MMR typed nested Location</x:v>
      </x:c>
      <x:c r="E5" s="55" t="n">
        <x:v>1</x:v>
      </x:c>
      <x:c r="F5" s="16" t="str"/>
    </x:row>
    <x:row r="6">
      <x:c r="A6" s="44" t="n">
        <x:v>5</x:v>
      </x:c>
      <x:c r="B6" s="10" t="str">
        <x:v>Create racks</x:v>
      </x:c>
      <x:c r="C6" s="10" t="str">
        <x:v>完成</x:v>
      </x:c>
      <x:c r="D6" s="10" t="str">
        <x:v>Rack API/service；height/reserved/position；冲突测试</x:v>
      </x:c>
      <x:c r="E6" s="55" t="n">
        <x:v>1</x:v>
      </x:c>
      <x:c r="F6" s="16" t="str"/>
    </x:row>
    <x:row r="7">
      <x:c r="A7" s="44" t="n">
        <x:v>6</x:v>
      </x:c>
      <x:c r="B7" s="10" t="str">
        <x:v>Add equipment</x:v>
      </x:c>
      <x:c r="C7" s="10" t="str">
        <x:v>完成</x:v>
      </x:c>
      <x:c r="D7" s="10" t="str">
        <x:v>DeviceTemplate → Device persisted; rack elevation</x:v>
      </x:c>
      <x:c r="E7" s="55" t="n">
        <x:v>1</x:v>
      </x:c>
      <x:c r="F7" s="16" t="str"/>
    </x:row>
    <x:row r="8">
      <x:c r="A8" s="44" t="n">
        <x:v>7</x:v>
      </x:c>
      <x:c r="B8" s="10" t="str">
        <x:v>Add patch panels</x:v>
      </x:c>
      <x:c r="C8" s="10" t="str">
        <x:v>完成</x:v>
      </x:c>
      <x:c r="D8" s="10" t="str">
        <x:v>48-port Cat6A panel template and instance</x:v>
      </x:c>
      <x:c r="E8" s="55" t="n">
        <x:v>1</x:v>
      </x:c>
      <x:c r="F8" s="16" t="str"/>
    </x:row>
    <x:row r="9">
      <x:c r="A9" s="44" t="n">
        <x:v>8</x:v>
      </x:c>
      <x:c r="B9" s="10" t="str">
        <x:v>Add ports</x:v>
      </x:c>
      <x:c r="C9" s="10" t="str">
        <x:v>完成</x:v>
      </x:c>
      <x:c r="D9" s="10" t="str">
        <x:v>Blueprint 自动创建 48 front + 48 rear ports and mappings</x:v>
      </x:c>
      <x:c r="E9" s="55" t="n">
        <x:v>1</x:v>
      </x:c>
      <x:c r="F9" s="16" t="str"/>
    </x:row>
    <x:row r="10">
      <x:c r="A10" s="44" t="n">
        <x:v>9</x:v>
      </x:c>
      <x:c r="B10" s="10" t="str">
        <x:v>Add cables</x:v>
      </x:c>
      <x:c r="C10" s="10" t="str">
        <x:v>完成</x:v>
      </x:c>
      <x:c r="D10" s="10" t="str">
        <x:v>Copper patch/horizontal and OS2 trunk records</x:v>
      </x:c>
      <x:c r="E10" s="55" t="n">
        <x:v>1</x:v>
      </x:c>
      <x:c r="F10" s="16" t="str"/>
    </x:row>
    <x:row r="11">
      <x:c r="A11" s="44" t="n">
        <x:v>10</x:v>
      </x:c>
      <x:c r="B11" s="10" t="str">
        <x:v>Terminate both ends</x:v>
      </x:c>
      <x:c r="C11" s="10" t="str">
        <x:v>完成</x:v>
      </x:c>
      <x:c r="D11" s="10" t="str">
        <x:v>Two CableTermination rows; physical-port uniqueness</x:v>
      </x:c>
      <x:c r="E11" s="55" t="n">
        <x:v>1</x:v>
      </x:c>
      <x:c r="F11" s="16" t="str"/>
    </x:row>
    <x:row r="12">
      <x:c r="A12" s="44" t="n">
        <x:v>11</x:v>
      </x:c>
      <x:c r="B12" s="10" t="str">
        <x:v>Trace a cable</x:v>
      </x:c>
      <x:c r="C12" s="10" t="str">
        <x:v>完成</x:v>
      </x:c>
      <x:c r="D12" s="10" t="str">
        <x:v>递归图与精确 7-item 序列 smoke</x:v>
      </x:c>
      <x:c r="E12" s="55" t="n">
        <x:v>1</x:v>
      </x:c>
      <x:c r="F12" s="16" t="str">
        <x:v>当前点到点/patch-panel 路径</x:v>
      </x:c>
    </x:row>
    <x:row r="13">
      <x:c r="A13" s="44" t="n">
        <x:v>12</x:v>
      </x:c>
      <x:c r="B13" s="10" t="str">
        <x:v>Create pathways</x:v>
      </x:c>
      <x:c r="C13" s="10" t="str">
        <x:v>完成</x:v>
      </x:c>
      <x:c r="D13" s="10" t="str">
        <x:v>Pathway + ordered PathwaySegment API/service</x:v>
      </x:c>
      <x:c r="E13" s="55" t="n">
        <x:v>1</x:v>
      </x:c>
      <x:c r="F13" s="16" t="str"/>
    </x:row>
    <x:row r="14">
      <x:c r="A14" s="44" t="n">
        <x:v>13</x:v>
      </x:c>
      <x:c r="B14" s="10" t="str">
        <x:v>Assign a cable route</x:v>
      </x:c>
      <x:c r="C14" s="10" t="str">
        <x:v>完成</x:v>
      </x:c>
      <x:c r="D14" s="10" t="str">
        <x:v>CableRouteSegment with order and coordinates</x:v>
      </x:c>
      <x:c r="E14" s="55" t="n">
        <x:v>1</x:v>
      </x:c>
      <x:c r="F14" s="16" t="str"/>
    </x:row>
    <x:row r="15">
      <x:c r="A15" s="44" t="n">
        <x:v>14</x:v>
      </x:c>
      <x:c r="B15" s="10" t="str">
        <x:v>Generate labels</x:v>
      </x:c>
      <x:c r="C15" s="10" t="str">
        <x:v>完成</x:v>
      </x:c>
      <x:c r="D15" s="10" t="str">
        <x:v>Label record + SVG QR + audit</x:v>
      </x:c>
      <x:c r="E15" s="55" t="n">
        <x:v>1</x:v>
      </x:c>
      <x:c r="F15" s="16" t="str">
        <x:v>单张 cable label</x:v>
      </x:c>
    </x:row>
    <x:row r="16">
      <x:c r="A16" s="44" t="n">
        <x:v>15</x:v>
      </x:c>
      <x:c r="B16" s="10" t="str">
        <x:v>Scan QR identifiers</x:v>
      </x:c>
      <x:c r="C16" s="10" t="str">
        <x:v>部分完成</x:v>
      </x:c>
      <x:c r="D16" s="10" t="str">
        <x:v>QR 指向权限保护 field record；field query route</x:v>
      </x:c>
      <x:c r="E16" s="55" t="n">
        <x:v>0.8</x:v>
      </x:c>
      <x:c r="F16" s="16" t="str">
        <x:v>无真实摄像头扫码</x:v>
      </x:c>
    </x:row>
    <x:row r="17">
      <x:c r="A17" s="44" t="n">
        <x:v>16</x:v>
      </x:c>
      <x:c r="B17" s="10" t="str">
        <x:v>View a rack elevation</x:v>
      </x:c>
      <x:c r="C17" s="10" t="str">
        <x:v>完成</x:v>
      </x:c>
      <x:c r="D17" s="10" t="str">
        <x:v>API rack elevation + UI table/capacity</x:v>
      </x:c>
      <x:c r="E17" s="55" t="n">
        <x:v>1</x:v>
      </x:c>
      <x:c r="F17" s="16" t="str"/>
    </x:row>
    <x:row r="18">
      <x:c r="A18" s="44" t="n">
        <x:v>17</x:v>
      </x:c>
      <x:c r="B18" s="10" t="str">
        <x:v>View the environment in 3D</x:v>
      </x:c>
      <x:c r="C18" s="10" t="str">
        <x:v>部分完成</x:v>
      </x:c>
      <x:c r="D18" s="10" t="str">
        <x:v>数据驱动 WebGL rack/route viewer</x:v>
      </x:c>
      <x:c r="E18" s="55" t="n">
        <x:v>0.8</x:v>
      </x:c>
      <x:c r="F18" s="16" t="str">
        <x:v>非完整 campus/building editor</x:v>
      </x:c>
    </x:row>
    <x:row r="19">
      <x:c r="A19" s="44" t="n">
        <x:v>18</x:v>
      </x:c>
      <x:c r="B19" s="10" t="str">
        <x:v>Highlight a cable path in 3D</x:v>
      </x:c>
      <x:c r="C19" s="10" t="str">
        <x:v>完成</x:v>
      </x:c>
      <x:c r="D19" s="10" t="str">
        <x:v>selected cable ordered route coordinates rendered</x:v>
      </x:c>
      <x:c r="E19" s="55" t="n">
        <x:v>0.95</x:v>
      </x:c>
      <x:c r="F19" s="16" t="str">
        <x:v>未在真实浏览器做截图回归</x:v>
      </x:c>
    </x:row>
    <x:row r="20">
      <x:c r="A20" s="44" t="n">
        <x:v>19</x:v>
      </x:c>
      <x:c r="B20" s="10" t="str">
        <x:v>Invite a contractor</x:v>
      </x:c>
      <x:c r="C20" s="10" t="str">
        <x:v>部分完成</x:v>
      </x:c>
      <x:c r="D20" s="10" t="str">
        <x:v>独立 contractor organization/user + grant API</x:v>
      </x:c>
      <x:c r="E20" s="55" t="n">
        <x:v>0.8</x:v>
      </x:c>
      <x:c r="F20" s="16" t="str">
        <x:v>无邀请邮件/接受流程</x:v>
      </x:c>
    </x:row>
    <x:row r="21">
      <x:c r="A21" s="44" t="n">
        <x:v>20</x:v>
      </x:c>
      <x:c r="B21" s="10" t="str">
        <x:v>Restrict contractor to one project</x:v>
      </x:c>
      <x:c r="C21" s="10" t="str">
        <x:v>完成</x:v>
      </x:c>
      <x:c r="D21" s="10" t="str">
        <x:v>Project/location/time/action scoped AccessGrant；负向测试</x:v>
      </x:c>
      <x:c r="E21" s="55" t="n">
        <x:v>1</x:v>
      </x:c>
      <x:c r="F21" s="16" t="str"/>
    </x:row>
    <x:row r="22">
      <x:c r="A22" s="44" t="n">
        <x:v>21</x:v>
      </x:c>
      <x:c r="B22" s="10" t="str">
        <x:v>Create a work order</x:v>
      </x:c>
      <x:c r="C22" s="10" t="str">
        <x:v>完成</x:v>
      </x:c>
      <x:c r="D22" s="10" t="str">
        <x:v>WorkOrder API + Northstar demo</x:v>
      </x:c>
      <x:c r="E22" s="55" t="n">
        <x:v>1</x:v>
      </x:c>
      <x:c r="F22" s="16" t="str"/>
    </x:row>
    <x:row r="23">
      <x:c r="A23" s="44" t="n">
        <x:v>22</x:v>
      </x:c>
      <x:c r="B23" s="10" t="str">
        <x:v>Mark a cable installed</x:v>
      </x:c>
      <x:c r="C23" s="10" t="str">
        <x:v>完成</x:v>
      </x:c>
      <x:c r="D23" s="10" t="str">
        <x:v>Contractor-scoped endpoint and audit</x:v>
      </x:c>
      <x:c r="E23" s="55" t="n">
        <x:v>1</x:v>
      </x:c>
      <x:c r="F23" s="16" t="str"/>
    </x:row>
    <x:row r="24">
      <x:c r="A24" s="44" t="n">
        <x:v>23</x:v>
      </x:c>
      <x:c r="B24" s="10" t="str">
        <x:v>Upload a test record</x:v>
      </x:c>
      <x:c r="C24" s="10" t="str">
        <x:v>部分完成</x:v>
      </x:c>
      <x:c r="D24" s="10" t="str">
        <x:v>PASS/FAIL measurements + attachment_name metadata</x:v>
      </x:c>
      <x:c r="E24" s="55" t="n">
        <x:v>0.85</x:v>
      </x:c>
      <x:c r="F24" s="16" t="str">
        <x:v>无二进制安全上传</x:v>
      </x:c>
    </x:row>
    <x:row r="25">
      <x:c r="A25" s="44" t="n">
        <x:v>24</x:v>
      </x:c>
      <x:c r="B25" s="10" t="str">
        <x:v>Approve the installation</x:v>
      </x:c>
      <x:c r="C25" s="10" t="str">
        <x:v>完成</x:v>
      </x:c>
      <x:c r="D25" s="10" t="str">
        <x:v>Independent supervisor approval → In Service</x:v>
      </x:c>
      <x:c r="E25" s="55" t="n">
        <x:v>1</x:v>
      </x:c>
      <x:c r="F25" s="16" t="str"/>
    </x:row>
    <x:row r="26">
      <x:c r="A26" s="44" t="n">
        <x:v>25</x:v>
      </x:c>
      <x:c r="B26" s="10" t="str">
        <x:v>Inspect complete audit history</x:v>
      </x:c>
      <x:c r="C26" s="10" t="str">
        <x:v>完成</x:v>
      </x:c>
      <x:c r="D26" s="10" t="str">
        <x:v>Tenant-scoped append-only events/API/UI</x:v>
      </x:c>
      <x:c r="E26" s="55" t="n">
        <x:v>1</x:v>
      </x:c>
      <x:c r="F26" s="16" t="str">
        <x:v>当前实现动作范围</x:v>
      </x:c>
    </x:row>
    <x:row r="27">
      <x:c r="A27" s="44" t="n">
        <x:v>26</x:v>
      </x:c>
      <x:c r="B27" s="10" t="str">
        <x:v>Run a compliance validation</x:v>
      </x:c>
      <x:c r="C27" s="10" t="str">
        <x:v>完成</x:v>
      </x:c>
      <x:c r="D27" s="10" t="str">
        <x:v>Configured profile report/findings/remediation</x:v>
      </x:c>
      <x:c r="E27" s="55" t="n">
        <x:v>0.95</x:v>
      </x:c>
      <x:c r="F27" s="16" t="str">
        <x:v>规则库非完整授权条款</x:v>
      </x:c>
    </x:row>
    <x:row r="28">
      <x:c r="A28" s="44" t="n">
        <x:v>27</x:v>
      </x:c>
      <x:c r="B28" s="10" t="str">
        <x:v>Export a cable schedule</x:v>
      </x:c>
      <x:c r="C28" s="10" t="str">
        <x:v>未完成</x:v>
      </x:c>
      <x:c r="D28" s="10" t="str">
        <x:v>无</x:v>
      </x:c>
      <x:c r="E28" s="55" t="n">
        <x:v>1</x:v>
      </x:c>
      <x:c r="F28" s="16" t="str">
        <x:v>明确未实现</x:v>
      </x:c>
    </x:row>
    <x:row r="29">
      <x:c r="A29" s="47" t="n">
        <x:v>28</x:v>
      </x:c>
      <x:c r="B29" s="18" t="str">
        <x:v>Prove Tenant A cannot access Tenant B</x:v>
      </x:c>
      <x:c r="C29" s="18" t="str">
        <x:v>完成</x:v>
      </x:c>
      <x:c r="D29" s="18" t="str">
        <x:v>Cross-tenant API 404、query hide、write reject tests</x:v>
      </x:c>
      <x:c r="E29" s="56" t="n">
        <x:v>1</x:v>
      </x:c>
      <x:c r="F29" s="19" t="str">
        <x:v>当前实现资源边界</x:v>
      </x:c>
    </x:row>
  </x:sheetData>
  <x:conditionalFormatting sqref="C2:C29">
    <x:cfRule type="expression" dxfId="0" priority="1">
      <x:formula>C2="完成"</x:formula>
    </x:cfRule>
    <x:cfRule type="expression" dxfId="1" priority="2">
      <x:formula>C2="部分完成"</x:formula>
    </x:cfRule>
    <x:cfRule type="expression" dxfId="2" priority="3">
      <x:formula>C2="未完成"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fb3a07285a74e8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42" hidden="0" customWidth="1"/>
    <x:col min="4" max="4" width="52" hidden="0" customWidth="1"/>
    <x:col min="5" max="5" width="18" hidden="0" customWidth="1"/>
    <x:col min="6" max="6" width="14" hidden="0" customWidth="1"/>
    <x:col min="7" max="7" width="12" hidden="0" customWidth="1"/>
  </x:cols>
  <x:sheetData>
    <x:row r="1">
      <x:c r="A1" s="12" t="str">
        <x:v>优先级</x:v>
      </x:c>
      <x:c r="B1" s="13" t="str">
        <x:v>领域</x:v>
      </x:c>
      <x:c r="C1" s="13" t="str">
        <x:v>剩余工作</x:v>
      </x:c>
      <x:c r="D1" s="13" t="str">
        <x:v>验收标准</x:v>
      </x:c>
      <x:c r="E1" s="13" t="str">
        <x:v>建议责任</x:v>
      </x:c>
      <x:c r="F1" s="13" t="str">
        <x:v>状态</x:v>
      </x:c>
      <x:c r="G1" s="14" t="str">
        <x:v>风险</x:v>
      </x:c>
    </x:row>
    <x:row r="2">
      <x:c r="A2" s="44" t="str">
        <x:v>P0</x:v>
      </x:c>
      <x:c r="B2" s="10" t="str">
        <x:v>Identity</x:v>
      </x:c>
      <x:c r="C2" s="10" t="str">
        <x:v>OIDC JWT 验签与主体映射</x:v>
      </x:c>
      <x:c r="D2" s="10" t="str">
        <x:v>已验证 issuer/audience/signature/exp；移除 demo header trust</x:v>
      </x:c>
      <x:c r="E2" s="10" t="str">
        <x:v>Security</x:v>
      </x:c>
      <x:c r="F2" s="10" t="str">
        <x:v>未开始</x:v>
      </x:c>
      <x:c r="G2" s="16" t="str">
        <x:v>Critical</x:v>
      </x:c>
    </x:row>
    <x:row r="3">
      <x:c r="A3" s="44" t="str">
        <x:v>P0</x:v>
      </x:c>
      <x:c r="B3" s="10" t="str">
        <x:v>Tenancy</x:v>
      </x:c>
      <x:c r="C3" s="10" t="str">
        <x:v>真实 PostgreSQL 普通角色 RLS 攻击测试</x:v>
      </x:c>
      <x:c r="D3" s="10" t="str">
        <x:v>Tenant A/B、平台角色、policy bypass 全矩阵通过</x:v>
      </x:c>
      <x:c r="E3" s="10" t="str">
        <x:v>Security/DB</x:v>
      </x:c>
      <x:c r="F3" s="10" t="str">
        <x:v>未开始</x:v>
      </x:c>
      <x:c r="G3" s="16" t="str">
        <x:v>Critical</x:v>
      </x:c>
    </x:row>
    <x:row r="4">
      <x:c r="A4" s="44" t="str">
        <x:v>P0</x:v>
      </x:c>
      <x:c r="B4" s="10" t="str">
        <x:v>Security</x:v>
      </x:c>
      <x:c r="C4" s="10" t="str">
        <x:v>Rate limit、CSRF/cookie、严格 CORS/TLS</x:v>
      </x:c>
      <x:c r="D4" s="10" t="str">
        <x:v>安全测试与渗透门禁通过</x:v>
      </x:c>
      <x:c r="E4" s="10" t="str">
        <x:v>Security</x:v>
      </x:c>
      <x:c r="F4" s="10" t="str">
        <x:v>未开始</x:v>
      </x:c>
      <x:c r="G4" s="16" t="str">
        <x:v>High</x:v>
      </x:c>
    </x:row>
    <x:row r="5">
      <x:c r="A5" s="44" t="str">
        <x:v>P1</x:v>
      </x:c>
      <x:c r="B5" s="10" t="str">
        <x:v>Documents</x:v>
      </x:c>
      <x:c r="C5" s="10" t="str">
        <x:v>私有对象存储、上传扫描、短期签名下载</x:v>
      </x:c>
      <x:c r="D5" s="10" t="str">
        <x:v>照片/test report/OTDR 全部继承记录权限</x:v>
      </x:c>
      <x:c r="E5" s="10" t="str">
        <x:v>Platform</x:v>
      </x:c>
      <x:c r="F5" s="10" t="str">
        <x:v>未开始</x:v>
      </x:c>
      <x:c r="G5" s="16" t="str">
        <x:v>Critical</x:v>
      </x:c>
    </x:row>
    <x:row r="6">
      <x:c r="A6" s="44" t="str">
        <x:v>P1</x:v>
      </x:c>
      <x:c r="B6" s="10" t="str">
        <x:v>Field</x:v>
      </x:c>
      <x:c r="C6" s="10" t="str">
        <x:v>Camera QR、照片、PWA offline queue</x:v>
      </x:c>
      <x:c r="D6" s="10" t="str">
        <x:v>离线重放无覆盖新版本并有冲突 UI</x:v>
      </x:c>
      <x:c r="E6" s="10" t="str">
        <x:v>Web/Mobile</x:v>
      </x:c>
      <x:c r="F6" s="10" t="str">
        <x:v>未开始</x:v>
      </x:c>
      <x:c r="G6" s="16" t="str">
        <x:v>High</x:v>
      </x:c>
    </x:row>
    <x:row r="7">
      <x:c r="A7" s="44" t="str">
        <x:v>P1</x:v>
      </x:c>
      <x:c r="B7" s="10" t="str">
        <x:v>Fiber</x:v>
      </x:c>
      <x:c r="C7" s="10" t="str">
        <x:v>Strand/pair/splice/cassette/breakout 模型</x:v>
      </x:c>
      <x:c r="D7" s="10" t="str">
        <x:v>可追踪单芯/纤对和完整 backbone path</x:v>
      </x:c>
      <x:c r="E7" s="10" t="str">
        <x:v>Domain</x:v>
      </x:c>
      <x:c r="F7" s="10" t="str">
        <x:v>未开始</x:v>
      </x:c>
      <x:c r="G7" s="16" t="str">
        <x:v>High</x:v>
      </x:c>
    </x:row>
    <x:row r="8">
      <x:c r="A8" s="44" t="str">
        <x:v>P1</x:v>
      </x:c>
      <x:c r="B8" s="10" t="str">
        <x:v>History</x:v>
      </x:c>
      <x:c r="C8" s="10" t="str">
        <x:v>Planned vs as-built temporal topology</x:v>
      </x:c>
      <x:c r="D8" s="10" t="str">
        <x:v>任何变更可重建前后拓扑</x:v>
      </x:c>
      <x:c r="E8" s="10" t="str">
        <x:v>Domain</x:v>
      </x:c>
      <x:c r="F8" s="10" t="str">
        <x:v>未开始</x:v>
      </x:c>
      <x:c r="G8" s="16" t="str">
        <x:v>High</x:v>
      </x:c>
    </x:row>
    <x:row r="9">
      <x:c r="A9" s="44" t="str">
        <x:v>P2</x:v>
      </x:c>
      <x:c r="B9" s="10" t="str">
        <x:v>2D</x:v>
      </x:c>
      <x:c r="C9" s="10" t="str">
        <x:v>Floor plan editor</x:v>
      </x:c>
      <x:c r="D9" s="10" t="str">
        <x:v>上传背景、摆放、绘制、吸附、测量、持久化</x:v>
      </x:c>
      <x:c r="E9" s="10" t="str">
        <x:v>Web/3D</x:v>
      </x:c>
      <x:c r="F9" s="10" t="str">
        <x:v>未开始</x:v>
      </x:c>
      <x:c r="G9" s="16" t="str">
        <x:v>High</x:v>
      </x:c>
    </x:row>
    <x:row r="10">
      <x:c r="A10" s="44" t="str">
        <x:v>P2</x:v>
      </x:c>
      <x:c r="B10" s="10" t="str">
        <x:v>3D</x:v>
      </x:c>
      <x:c r="C10" s="10" t="str">
        <x:v>完整设施编辑器与 GLTF adapter</x:v>
      </x:c>
      <x:c r="D10" s="10" t="str">
        <x:v>drag/save、port inspect、LOD/instancing 基准通过</x:v>
      </x:c>
      <x:c r="E10" s="10" t="str">
        <x:v>Web/3D</x:v>
      </x:c>
      <x:c r="F10" s="10" t="str">
        <x:v>未开始</x:v>
      </x:c>
      <x:c r="G10" s="16" t="str">
        <x:v>Medium</x:v>
      </x:c>
    </x:row>
    <x:row r="11">
      <x:c r="A11" s="44" t="str">
        <x:v>P2</x:v>
      </x:c>
      <x:c r="B11" s="10" t="str">
        <x:v>Import</x:v>
      </x:c>
      <x:c r="C11" s="10" t="str">
        <x:v>CSV/XLSX map/validate/preview/dry-run</x:v>
      </x:c>
      <x:c r="D11" s="10" t="str">
        <x:v>错误报告且不静默创建坏拓扑</x:v>
      </x:c>
      <x:c r="E11" s="10" t="str">
        <x:v>Integrations</x:v>
      </x:c>
      <x:c r="F11" s="10" t="str">
        <x:v>未开始</x:v>
      </x:c>
      <x:c r="G11" s="16" t="str">
        <x:v>High</x:v>
      </x:c>
    </x:row>
    <x:row r="12">
      <x:c r="A12" s="44" t="str">
        <x:v>P2</x:v>
      </x:c>
      <x:c r="B12" s="10" t="str">
        <x:v>NetBox</x:v>
      </x:c>
      <x:c r="C12" s="10" t="str">
        <x:v>NetBox adapter + conflict resolution</x:v>
      </x:c>
      <x:c r="D12" s="10" t="str">
        <x:v>Sites/Racks/Devices/Ports/Cables 可 dry-run 导入</x:v>
      </x:c>
      <x:c r="E12" s="10" t="str">
        <x:v>Integrations</x:v>
      </x:c>
      <x:c r="F12" s="10" t="str">
        <x:v>未开始</x:v>
      </x:c>
      <x:c r="G12" s="16" t="str">
        <x:v>Medium</x:v>
      </x:c>
    </x:row>
    <x:row r="13">
      <x:c r="A13" s="44" t="str">
        <x:v>P2</x:v>
      </x:c>
      <x:c r="B13" s="10" t="str">
        <x:v>Reporting</x:v>
      </x:c>
      <x:c r="C13" s="10" t="str">
        <x:v>Cable schedule / capacity / audit exports</x:v>
      </x:c>
      <x:c r="D13" s="10" t="str">
        <x:v>CSV/XLSX/JSON tenant-scoped exports</x:v>
      </x:c>
      <x:c r="E13" s="10" t="str">
        <x:v>Reporting</x:v>
      </x:c>
      <x:c r="F13" s="10" t="str">
        <x:v>未开始</x:v>
      </x:c>
      <x:c r="G13" s="16" t="str">
        <x:v>High</x:v>
      </x:c>
    </x:row>
    <x:row r="14">
      <x:c r="A14" s="44" t="str">
        <x:v>P2</x:v>
      </x:c>
      <x:c r="B14" s="10" t="str">
        <x:v>Webhooks</x:v>
      </x:c>
      <x:c r="C14" s="10" t="str">
        <x:v>签名、重试、delivery log、secret rotation</x:v>
      </x:c>
      <x:c r="D14" s="10" t="str">
        <x:v>失败可重放且不跨租户</x:v>
      </x:c>
      <x:c r="E14" s="10" t="str">
        <x:v>Platform</x:v>
      </x:c>
      <x:c r="F14" s="10" t="str">
        <x:v>未开始</x:v>
      </x:c>
      <x:c r="G14" s="16" t="str">
        <x:v>Medium</x:v>
      </x:c>
    </x:row>
    <x:row r="15">
      <x:c r="A15" s="44" t="str">
        <x:v>P3</x:v>
      </x:c>
      <x:c r="B15" s="10" t="str">
        <x:v>Observability</x:v>
      </x:c>
      <x:c r="C15" s="10" t="str">
        <x:v>OpenTelemetry logs/metrics/traces/alerts</x:v>
      </x:c>
      <x:c r="D15" s="10" t="str">
        <x:v>request/tenant correlation and SLO dashboards</x:v>
      </x:c>
      <x:c r="E15" s="10" t="str">
        <x:v>SRE</x:v>
      </x:c>
      <x:c r="F15" s="10" t="str">
        <x:v>未开始</x:v>
      </x:c>
      <x:c r="G15" s="16" t="str">
        <x:v>Medium</x:v>
      </x:c>
    </x:row>
    <x:row r="16">
      <x:c r="A16" s="44" t="str">
        <x:v>P3</x:v>
      </x:c>
      <x:c r="B16" s="10" t="str">
        <x:v>Recovery</x:v>
      </x:c>
      <x:c r="C16" s="10" t="str">
        <x:v>PITR、附件备份、restore runbook</x:v>
      </x:c>
      <x:c r="D16" s="10" t="str">
        <x:v>定期恢复演练达到 RPO/RTO</x:v>
      </x:c>
      <x:c r="E16" s="10" t="str">
        <x:v>SRE</x:v>
      </x:c>
      <x:c r="F16" s="10" t="str">
        <x:v>未开始</x:v>
      </x:c>
      <x:c r="G16" s="16" t="str">
        <x:v>Critical</x:v>
      </x:c>
    </x:row>
    <x:row r="17">
      <x:c r="A17" s="44" t="str">
        <x:v>P3</x:v>
      </x:c>
      <x:c r="B17" s="10" t="str">
        <x:v>Deployment</x:v>
      </x:c>
      <x:c r="C17" s="10" t="str">
        <x:v>Kubernetes production manifests</x:v>
      </x:c>
      <x:c r="D17" s="10" t="str">
        <x:v>probes/resources/PDB/rolling migration verified</x:v>
      </x:c>
      <x:c r="E17" s="10" t="str">
        <x:v>SRE</x:v>
      </x:c>
      <x:c r="F17" s="10" t="str">
        <x:v>未开始</x:v>
      </x:c>
      <x:c r="G17" s="16" t="str">
        <x:v>Medium</x:v>
      </x:c>
    </x:row>
    <x:row r="18">
      <x:c r="A18" s="47" t="str">
        <x:v>P3</x:v>
      </x:c>
      <x:c r="B18" s="18" t="str">
        <x:v>Quality</x:v>
      </x:c>
      <x:c r="C18" s="18" t="str">
        <x:v>Playwright/a11y/WebGL/load/DAST</x:v>
      </x:c>
      <x:c r="D18" s="18" t="str">
        <x:v>浏览器、GPU、性能和安全门禁纳入 CI</x:v>
      </x:c>
      <x:c r="E18" s="18" t="str">
        <x:v>QA/Security</x:v>
      </x:c>
      <x:c r="F18" s="18" t="str">
        <x:v>未开始</x:v>
      </x:c>
      <x:c r="G18" s="19" t="str">
        <x:v>High</x:v>
      </x:c>
    </x:row>
  </x:sheetData>
  <x:conditionalFormatting sqref="G2:G18">
    <x:cfRule type="expression" dxfId="5" priority="1">
      <x:formula>G2="Critical"</x:formula>
    </x:cfRule>
    <x:cfRule type="expression" dxfId="6" priority="2">
      <x:formula>G2="High"</x:formula>
    </x:cfRule>
  </x:conditionalFormatting>
  <x:dataValidations count="3">
    <x:dataValidation type="list" sqref="A2:A18">
      <x:formula1>"P0,P1,P2,P3"</x:formula1>
    </x:dataValidation>
    <x:dataValidation type="list" sqref="F2:F18">
      <x:formula1>"未开始,进行中,已阻塞,完成"</x:formula1>
    </x:dataValidation>
    <x:dataValidation type="list" sqref="G2:G18">
      <x:formula1>"Critical,High,Medium,Low"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e7c1726f814c3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4" hidden="0" customWidth="1"/>
    <x:col min="3" max="3" width="55" hidden="0" customWidth="1"/>
    <x:col min="4" max="4" width="36" hidden="0" customWidth="1"/>
  </x:cols>
  <x:sheetData>
    <x:row r="1">
      <x:c r="A1" s="12" t="str">
        <x:v>验证项</x:v>
      </x:c>
      <x:c r="B1" s="13" t="str">
        <x:v>结果</x:v>
      </x:c>
      <x:c r="C1" s="13" t="str">
        <x:v>执行证据</x:v>
      </x:c>
      <x:c r="D1" s="14" t="str">
        <x:v>100% 信心边界</x:v>
      </x:c>
    </x:row>
    <x:row r="2">
      <x:c r="A2" s="15" t="str">
        <x:v>Pytest</x:v>
      </x:c>
      <x:c r="B2" s="10" t="str">
        <x:v>PASS</x:v>
      </x:c>
      <x:c r="C2" s="10" t="str">
        <x:v>27 passed in 1.72s</x:v>
      </x:c>
      <x:c r="D2" s="16" t="str">
        <x:v>是：本次测试集合执行结果</x:v>
      </x:c>
    </x:row>
    <x:row r="3">
      <x:c r="A3" s="15" t="str">
        <x:v>Python compile</x:v>
      </x:c>
      <x:c r="B3" s="10" t="str">
        <x:v>PASS</x:v>
      </x:c>
      <x:c r="C3" s="10" t="str">
        <x:v>app + migrations compileall</x:v>
      </x:c>
      <x:c r="D3" s="16" t="str">
        <x:v>是：语法/字节码边界</x:v>
      </x:c>
    </x:row>
    <x:row r="4">
      <x:c r="A4" s="15" t="str">
        <x:v>Frontend ES module syntax</x:v>
      </x:c>
      <x:c r="B4" s="10" t="str">
        <x:v>PASS</x:v>
      </x:c>
      <x:c r="C4" s="10" t="str">
        <x:v>node --check app.js + webgl-viewer.js</x:v>
      </x:c>
      <x:c r="D4" s="16" t="str">
        <x:v>是：语法边界</x:v>
      </x:c>
    </x:row>
    <x:row r="5">
      <x:c r="A5" s="15" t="str">
        <x:v>Fresh Alembic migration</x:v>
      </x:c>
      <x:c r="B5" s="10" t="str">
        <x:v>PASS</x:v>
      </x:c>
      <x:c r="C5" s="10" t="str">
        <x:v>empty SQLite → head</x:v>
      </x:c>
      <x:c r="D5" s="16" t="str">
        <x:v>是：SQLite migration 边界</x:v>
      </x:c>
    </x:row>
    <x:row r="6">
      <x:c r="A6" s="15" t="str">
        <x:v>Idempotent demo seed</x:v>
      </x:c>
      <x:c r="B6" s="10" t="str">
        <x:v>PASS</x:v>
      </x:c>
      <x:c r="C6" s="10" t="str">
        <x:v>same database seeded twice</x:v>
      </x:c>
      <x:c r="D6" s="16" t="str">
        <x:v>是：当前 seed 边界</x:v>
      </x:c>
    </x:row>
    <x:row r="7">
      <x:c r="A7" s="15" t="str">
        <x:v>HTTP/static smoke</x:v>
      </x:c>
      <x:c r="B7" s="10" t="str">
        <x:v>PASS</x:v>
      </x:c>
      <x:c r="C7" s="10" t="str">
        <x:v>10/10 routes HTTP 200</x:v>
      </x:c>
      <x:c r="D7" s="16" t="str">
        <x:v>是：当前 endpoints/static load</x:v>
      </x:c>
    </x:row>
    <x:row r="8">
      <x:c r="A8" s="15" t="str">
        <x:v>Trace sequence</x:v>
      </x:c>
      <x:c r="B8" s="10" t="str">
        <x:v>PASS</x:v>
      </x:c>
      <x:c r="C8" s="10" t="str">
        <x:v>port→cable→port→internal_mapping→port→cable→port</x:v>
      </x:c>
      <x:c r="D8" s="16" t="str">
        <x:v>是：demo copper path</x:v>
      </x:c>
    </x:row>
    <x:row r="9">
      <x:c r="A9" s="15" t="str">
        <x:v>Exact tenant search</x:v>
      </x:c>
      <x:c r="B9" s="10" t="str">
        <x:v>PASS</x:v>
      </x:c>
      <x:c r="C9" s="10" t="str">
        <x:v>exact cable result ranked first</x:v>
      </x:c>
      <x:c r="D9" s="16" t="str">
        <x:v>是：当前 search sources</x:v>
      </x:c>
    </x:row>
    <x:row r="10">
      <x:c r="A10" s="15" t="str">
        <x:v>Wheel build</x:v>
      </x:c>
      <x:c r="B10" s="10" t="str">
        <x:v>PASS</x:v>
      </x:c>
      <x:c r="C10" s="10" t="str">
        <x:v>pip wheel --no-build-isolation --no-deps</x:v>
      </x:c>
      <x:c r="D10" s="16" t="str">
        <x:v>是：本地 wheel metadata/build</x:v>
      </x:c>
    </x:row>
    <x:row r="11">
      <x:c r="A11" s="15" t="str">
        <x:v>PostgreSQL runtime</x:v>
      </x:c>
      <x:c r="B11" s="10" t="str">
        <x:v>NOT RUN</x:v>
      </x:c>
      <x:c r="C11" s="10" t="str">
        <x:v>No PostgreSQL/Docker runtime in execution environment</x:v>
      </x:c>
      <x:c r="D11" s="16" t="str">
        <x:v>否</x:v>
      </x:c>
    </x:row>
    <x:row r="12">
      <x:c r="A12" s="17" t="str">
        <x:v>Browser/WebGL E2E</x:v>
      </x:c>
      <x:c r="B12" s="18" t="str">
        <x:v>NOT RUN</x:v>
      </x:c>
      <x:c r="C12" s="18" t="str">
        <x:v>No real browser/GPU automation available</x:v>
      </x:c>
      <x:c r="D12" s="19" t="str">
        <x:v>否</x:v>
      </x:c>
    </x:row>
  </x:sheetData>
  <x:conditionalFormatting sqref="B2:B12">
    <x:cfRule type="expression" dxfId="3" priority="1">
      <x:formula>B2="PASS"</x:formula>
    </x:cfRule>
    <x:cfRule type="expression" dxfId="4" priority="2">
      <x:formula>B2="NOT RUN"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1bc993500424601"/>
  </x:tableParts>
</x:worksheet>
</file>